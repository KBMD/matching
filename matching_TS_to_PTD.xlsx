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src\matching\"/>
    </mc:Choice>
  </mc:AlternateContent>
  <xr:revisionPtr revIDLastSave="0" documentId="13_ncr:9_{016223B0-7C1B-4CA0-8B65-C0B955FE2EEC}" xr6:coauthVersionLast="47" xr6:coauthVersionMax="47" xr10:uidLastSave="{00000000-0000-0000-0000-000000000000}"/>
  <bookViews>
    <workbookView xWindow="6700" yWindow="2300" windowWidth="30590" windowHeight="15310" activeTab="3" xr2:uid="{D64B4D24-9B61-45BE-A2E2-C43E3B469681}"/>
  </bookViews>
  <sheets>
    <sheet name="ready_to_match" sheetId="1" r:id="rId1"/>
    <sheet name="m_girls_TS" sheetId="3" r:id="rId2"/>
    <sheet name="m_boys_TS" sheetId="2" r:id="rId3"/>
    <sheet name="MATCHED" sheetId="4" r:id="rId4"/>
  </sheets>
  <calcPr calcId="0"/>
</workbook>
</file>

<file path=xl/calcChain.xml><?xml version="1.0" encoding="utf-8"?>
<calcChain xmlns="http://schemas.openxmlformats.org/spreadsheetml/2006/main">
  <c r="AG43" i="4" l="1"/>
  <c r="AF47" i="4"/>
  <c r="AF43" i="4"/>
  <c r="X46" i="4"/>
  <c r="X43" i="4"/>
  <c r="I43" i="4"/>
  <c r="X45" i="4"/>
  <c r="X44" i="4"/>
  <c r="I46" i="4"/>
  <c r="I45" i="4"/>
  <c r="I44" i="4"/>
  <c r="AF41" i="4"/>
  <c r="AG41" i="4" s="1"/>
  <c r="AF40" i="4"/>
  <c r="AG40" i="4" s="1"/>
  <c r="AF39" i="4"/>
  <c r="AG39" i="4" s="1"/>
  <c r="AF38" i="4"/>
  <c r="AF37" i="4"/>
  <c r="AG37" i="4" s="1"/>
  <c r="AF36" i="4"/>
  <c r="AG36" i="4" s="1"/>
  <c r="AF35" i="4"/>
  <c r="AG35" i="4" s="1"/>
  <c r="AF34" i="4"/>
  <c r="AG34" i="4" s="1"/>
  <c r="AF33" i="4"/>
  <c r="AG33" i="4" s="1"/>
  <c r="AF32" i="4"/>
  <c r="AG32" i="4" s="1"/>
  <c r="AF31" i="4"/>
  <c r="AG31" i="4" s="1"/>
  <c r="AF30" i="4"/>
  <c r="AG30" i="4" s="1"/>
  <c r="AF29" i="4"/>
  <c r="AG29" i="4" s="1"/>
  <c r="AF28" i="4"/>
  <c r="AG28" i="4" s="1"/>
  <c r="AF27" i="4"/>
  <c r="AG27" i="4" s="1"/>
  <c r="AF26" i="4"/>
  <c r="AG26" i="4" s="1"/>
  <c r="AF25" i="4"/>
  <c r="AG25" i="4" s="1"/>
  <c r="AF24" i="4"/>
  <c r="AG24" i="4" s="1"/>
  <c r="AF23" i="4"/>
  <c r="AG23" i="4" s="1"/>
  <c r="AF22" i="4"/>
  <c r="AG22" i="4" s="1"/>
  <c r="AF21" i="4"/>
  <c r="AG21" i="4" s="1"/>
  <c r="AF20" i="4"/>
  <c r="AG20" i="4" s="1"/>
  <c r="AF19" i="4"/>
  <c r="AG19" i="4" s="1"/>
  <c r="AF18" i="4"/>
  <c r="AG18" i="4" s="1"/>
  <c r="AF17" i="4"/>
  <c r="AG17" i="4" s="1"/>
  <c r="AF16" i="4"/>
  <c r="AG16" i="4" s="1"/>
  <c r="AF15" i="4"/>
  <c r="AG15" i="4" s="1"/>
  <c r="AF14" i="4"/>
  <c r="AG14" i="4" s="1"/>
  <c r="AF13" i="4"/>
  <c r="AG13" i="4" s="1"/>
  <c r="AF12" i="4"/>
  <c r="AG12" i="4" s="1"/>
  <c r="AF11" i="4"/>
  <c r="AG11" i="4" s="1"/>
  <c r="AF10" i="4"/>
  <c r="AG10" i="4" s="1"/>
  <c r="AF9" i="4"/>
  <c r="AG9" i="4" s="1"/>
  <c r="AF8" i="4"/>
  <c r="AG8" i="4" s="1"/>
  <c r="AF7" i="4"/>
  <c r="AG7" i="4" s="1"/>
  <c r="AF6" i="4"/>
  <c r="AG6" i="4" s="1"/>
  <c r="AF5" i="4"/>
  <c r="AG5" i="4" s="1"/>
  <c r="AF4" i="4"/>
  <c r="AG4" i="4" s="1"/>
  <c r="AF3" i="4"/>
  <c r="AG3" i="4" s="1"/>
  <c r="AF2" i="4"/>
  <c r="AG2" i="4" s="1"/>
  <c r="AG29" i="3"/>
  <c r="AG31" i="3"/>
  <c r="AF31" i="3"/>
  <c r="AF28" i="3"/>
  <c r="AG52" i="3"/>
  <c r="AF52" i="3"/>
  <c r="AG51" i="3"/>
  <c r="AF51" i="3"/>
  <c r="AG50" i="3"/>
  <c r="AF50" i="3"/>
  <c r="AG49" i="3"/>
  <c r="AF49" i="3"/>
  <c r="AG48" i="3"/>
  <c r="AF48" i="3"/>
  <c r="AG47" i="3"/>
  <c r="AF47" i="3"/>
  <c r="AG46" i="3"/>
  <c r="AF46" i="3"/>
  <c r="AG45" i="3"/>
  <c r="AF45" i="3"/>
  <c r="AG44" i="3"/>
  <c r="AF44" i="3"/>
  <c r="AG43" i="3"/>
  <c r="AF43" i="3"/>
  <c r="AG42" i="3"/>
  <c r="AF42" i="3"/>
  <c r="AG41" i="3"/>
  <c r="AF41" i="3"/>
  <c r="AG40" i="3"/>
  <c r="AF40" i="3"/>
  <c r="AG39" i="3"/>
  <c r="AF39" i="3"/>
  <c r="AG38" i="3"/>
  <c r="AF38" i="3"/>
  <c r="AG37" i="3"/>
  <c r="AF37" i="3"/>
  <c r="AG36" i="3"/>
  <c r="AF36" i="3"/>
  <c r="AG35" i="3"/>
  <c r="AF35" i="3"/>
  <c r="AG34" i="3"/>
  <c r="AF34" i="3"/>
  <c r="AG33" i="3"/>
  <c r="AF33" i="3"/>
  <c r="AG32" i="3"/>
  <c r="AF32" i="3"/>
  <c r="AG27" i="3"/>
  <c r="AF27" i="3"/>
  <c r="AF26" i="3"/>
  <c r="AG26" i="3" s="1"/>
  <c r="AF25" i="3"/>
  <c r="AG25" i="3" s="1"/>
  <c r="AF24" i="3"/>
  <c r="AG24" i="3" s="1"/>
  <c r="AF23" i="3"/>
  <c r="AG23" i="3" s="1"/>
  <c r="AG22" i="3"/>
  <c r="AG30" i="3" s="1"/>
  <c r="AF22" i="3"/>
  <c r="AF21" i="3"/>
  <c r="AG21" i="3" s="1"/>
  <c r="AF20" i="3"/>
  <c r="AG87" i="2"/>
  <c r="AF87" i="2"/>
  <c r="AG86" i="2"/>
  <c r="AG85" i="2"/>
  <c r="AG84" i="2"/>
  <c r="AF84" i="2"/>
  <c r="AF55" i="2"/>
  <c r="AI64" i="2"/>
  <c r="AH64" i="2"/>
  <c r="AF73" i="2"/>
  <c r="AG73" i="2" s="1"/>
  <c r="AF72" i="2"/>
  <c r="AF54" i="2"/>
  <c r="AG54" i="2" s="1"/>
  <c r="AG82" i="2"/>
  <c r="AG81" i="2"/>
  <c r="AG80" i="2"/>
  <c r="AG79" i="2"/>
  <c r="AG75" i="2"/>
  <c r="AG74" i="2"/>
  <c r="AG72" i="2"/>
  <c r="AG69" i="2"/>
  <c r="AG68" i="2"/>
  <c r="AG67" i="2"/>
  <c r="AG66" i="2"/>
  <c r="AG65" i="2"/>
  <c r="AG63" i="2"/>
  <c r="AG61" i="2"/>
  <c r="AG50" i="2"/>
  <c r="AF82" i="2"/>
  <c r="AF81" i="2"/>
  <c r="AF80" i="2"/>
  <c r="AF79" i="2"/>
  <c r="AF78" i="2"/>
  <c r="AG78" i="2" s="1"/>
  <c r="AF77" i="2"/>
  <c r="AG77" i="2" s="1"/>
  <c r="AF76" i="2"/>
  <c r="AF75" i="2"/>
  <c r="AF74" i="2"/>
  <c r="AF71" i="2"/>
  <c r="AG71" i="2" s="1"/>
  <c r="AF70" i="2"/>
  <c r="AG70" i="2" s="1"/>
  <c r="AF69" i="2"/>
  <c r="AF68" i="2"/>
  <c r="AF67" i="2"/>
  <c r="AF66" i="2"/>
  <c r="AF65" i="2"/>
  <c r="AF64" i="2"/>
  <c r="AG64" i="2" s="1"/>
  <c r="AF63" i="2"/>
  <c r="AF62" i="2"/>
  <c r="AG62" i="2" s="1"/>
  <c r="AF61" i="2"/>
  <c r="AF60" i="2"/>
  <c r="AG60" i="2" s="1"/>
  <c r="AF59" i="2"/>
  <c r="AG59" i="2" s="1"/>
  <c r="AF58" i="2"/>
  <c r="AF57" i="2"/>
  <c r="AG57" i="2" s="1"/>
  <c r="AF56" i="2"/>
  <c r="AG56" i="2" s="1"/>
  <c r="AH55" i="2"/>
  <c r="AF53" i="2"/>
  <c r="AG53" i="2" s="1"/>
  <c r="AF52" i="2"/>
  <c r="AG52" i="2" s="1"/>
  <c r="AF51" i="2"/>
  <c r="AG51" i="2" s="1"/>
  <c r="AF50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32" i="2"/>
  <c r="AD34" i="2"/>
  <c r="AD33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D8" i="3"/>
  <c r="AD7" i="3"/>
  <c r="AD6" i="3"/>
  <c r="AD5" i="3"/>
  <c r="AD4" i="3"/>
  <c r="AD3" i="3"/>
  <c r="AD2" i="3"/>
  <c r="AD2" i="2"/>
  <c r="AF45" i="4" l="1"/>
  <c r="AF48" i="4"/>
  <c r="AG48" i="4" s="1"/>
  <c r="AG38" i="4"/>
  <c r="AG47" i="4" s="1"/>
  <c r="AF44" i="4"/>
  <c r="AG46" i="4"/>
  <c r="AG28" i="3"/>
  <c r="AG20" i="3"/>
  <c r="AI76" i="2"/>
  <c r="AG76" i="2"/>
  <c r="AH76" i="2"/>
  <c r="AG55" i="2"/>
  <c r="AI55" i="2" s="1"/>
  <c r="AG58" i="2"/>
  <c r="AG44" i="4" l="1"/>
  <c r="AG45" i="4"/>
</calcChain>
</file>

<file path=xl/sharedStrings.xml><?xml version="1.0" encoding="utf-8"?>
<sst xmlns="http://schemas.openxmlformats.org/spreadsheetml/2006/main" count="3760" uniqueCount="166">
  <si>
    <t>participant_ID</t>
  </si>
  <si>
    <t>study_subject_ID</t>
  </si>
  <si>
    <t>dx_group</t>
  </si>
  <si>
    <t>sex_at_birth</t>
  </si>
  <si>
    <t>handedness</t>
  </si>
  <si>
    <t>age_at_scan_who</t>
  </si>
  <si>
    <t>best_ygtss_impairment</t>
  </si>
  <si>
    <t>best_ygtss_tts</t>
  </si>
  <si>
    <t>duration_of_tics_(days)</t>
  </si>
  <si>
    <t>session_ID</t>
  </si>
  <si>
    <t>scanner_make_model</t>
  </si>
  <si>
    <t>scanner_identifier</t>
  </si>
  <si>
    <t>age_at_scan_scan_day</t>
  </si>
  <si>
    <t>tic_diagnosis_current</t>
  </si>
  <si>
    <t>age_diff</t>
  </si>
  <si>
    <t>case_control</t>
  </si>
  <si>
    <t>transmit_coil</t>
  </si>
  <si>
    <t>receive_coil</t>
  </si>
  <si>
    <t>pulse_sequence</t>
  </si>
  <si>
    <t>TR</t>
  </si>
  <si>
    <t>TE</t>
  </si>
  <si>
    <t>TI</t>
  </si>
  <si>
    <t>flip_angle</t>
  </si>
  <si>
    <t>bandwidth</t>
  </si>
  <si>
    <t>FoV</t>
  </si>
  <si>
    <t>matrix</t>
  </si>
  <si>
    <t>voxel_size</t>
  </si>
  <si>
    <t>partial_Fourier</t>
  </si>
  <si>
    <t>phase_resolution</t>
  </si>
  <si>
    <t>slice_resolution</t>
  </si>
  <si>
    <t>average</t>
  </si>
  <si>
    <t>NT812</t>
  </si>
  <si>
    <t>PTD</t>
  </si>
  <si>
    <t>M</t>
  </si>
  <si>
    <t>R</t>
  </si>
  <si>
    <t>ses-screen</t>
  </si>
  <si>
    <t>SiemensPrisma_fit</t>
  </si>
  <si>
    <t>TTD</t>
  </si>
  <si>
    <t>case</t>
  </si>
  <si>
    <t>Body</t>
  </si>
  <si>
    <t>HeadNeck_64HC1-7</t>
  </si>
  <si>
    <t>tfl3d1_16ns%CustomerSeq%\tfl_mgh_epinav_ABCD</t>
  </si>
  <si>
    <t>(256.0, 256,  256)</t>
  </si>
  <si>
    <t>(256,  256)</t>
  </si>
  <si>
    <t>1x1x1</t>
  </si>
  <si>
    <t>NT813</t>
  </si>
  <si>
    <t>NT814</t>
  </si>
  <si>
    <t>NT815</t>
  </si>
  <si>
    <t>HeadNeck_64HC1-7;NC1</t>
  </si>
  <si>
    <t>NT816</t>
  </si>
  <si>
    <t>NT817</t>
  </si>
  <si>
    <t>nonR</t>
  </si>
  <si>
    <t>NT818</t>
  </si>
  <si>
    <t>NT819</t>
  </si>
  <si>
    <t>F</t>
  </si>
  <si>
    <t>NT820</t>
  </si>
  <si>
    <t>NT821</t>
  </si>
  <si>
    <t>NT822</t>
  </si>
  <si>
    <t>TS</t>
  </si>
  <si>
    <t>control</t>
  </si>
  <si>
    <t>NT823</t>
  </si>
  <si>
    <t>NT824</t>
  </si>
  <si>
    <t>NT825</t>
  </si>
  <si>
    <t>NT826</t>
  </si>
  <si>
    <t>NT827</t>
  </si>
  <si>
    <t>NT829</t>
  </si>
  <si>
    <t>NT831</t>
  </si>
  <si>
    <t>NT832</t>
  </si>
  <si>
    <t>NT833</t>
  </si>
  <si>
    <t>NT834</t>
  </si>
  <si>
    <t>NT835</t>
  </si>
  <si>
    <t>NT836</t>
  </si>
  <si>
    <t>NT837</t>
  </si>
  <si>
    <t>NT838</t>
  </si>
  <si>
    <t>NT839</t>
  </si>
  <si>
    <t>NT840</t>
  </si>
  <si>
    <t>ses-12mo</t>
  </si>
  <si>
    <t>CTD</t>
  </si>
  <si>
    <t>NT841</t>
  </si>
  <si>
    <t>NT842</t>
  </si>
  <si>
    <t>NT843</t>
  </si>
  <si>
    <t>NT844</t>
  </si>
  <si>
    <t>NT846</t>
  </si>
  <si>
    <t>NT848</t>
  </si>
  <si>
    <t>NT849</t>
  </si>
  <si>
    <t>NT851</t>
  </si>
  <si>
    <t>NT852</t>
  </si>
  <si>
    <t>NT854</t>
  </si>
  <si>
    <t>NT860</t>
  </si>
  <si>
    <t>NT862</t>
  </si>
  <si>
    <t>NT864</t>
  </si>
  <si>
    <t>MSCPI18</t>
  </si>
  <si>
    <t>NT867</t>
  </si>
  <si>
    <t>NT868</t>
  </si>
  <si>
    <t>NT870</t>
  </si>
  <si>
    <t>MSCPI14</t>
  </si>
  <si>
    <t>NT872</t>
  </si>
  <si>
    <t>NT873</t>
  </si>
  <si>
    <t>NT874</t>
  </si>
  <si>
    <t>NT876</t>
  </si>
  <si>
    <t>NT878</t>
  </si>
  <si>
    <t>NT880</t>
  </si>
  <si>
    <t>NT881</t>
  </si>
  <si>
    <t>NT882</t>
  </si>
  <si>
    <t>NT883</t>
  </si>
  <si>
    <t>NT885</t>
  </si>
  <si>
    <t>NT886</t>
  </si>
  <si>
    <t>NT888</t>
  </si>
  <si>
    <t>HeadNeck_64HC2</t>
  </si>
  <si>
    <t>NT889</t>
  </si>
  <si>
    <t>NT890</t>
  </si>
  <si>
    <t>NT894</t>
  </si>
  <si>
    <t>NT899</t>
  </si>
  <si>
    <t>NT900</t>
  </si>
  <si>
    <t>NT901</t>
  </si>
  <si>
    <t>NT903</t>
  </si>
  <si>
    <t>NT904</t>
  </si>
  <si>
    <t>NT905</t>
  </si>
  <si>
    <t>NT906</t>
  </si>
  <si>
    <t>NT907</t>
  </si>
  <si>
    <t>NT908</t>
  </si>
  <si>
    <t>NT909</t>
  </si>
  <si>
    <t>NT910</t>
  </si>
  <si>
    <t>NT911</t>
  </si>
  <si>
    <t>NT912</t>
  </si>
  <si>
    <t>NT913</t>
  </si>
  <si>
    <t>NT914</t>
  </si>
  <si>
    <t>NT916</t>
  </si>
  <si>
    <t>NT917</t>
  </si>
  <si>
    <t>NT918</t>
  </si>
  <si>
    <t>NT919</t>
  </si>
  <si>
    <t>NT920</t>
  </si>
  <si>
    <t>NT921</t>
  </si>
  <si>
    <t>NT922</t>
  </si>
  <si>
    <t>NT924</t>
  </si>
  <si>
    <t>NT925</t>
  </si>
  <si>
    <t>NT928</t>
  </si>
  <si>
    <t>NT931</t>
  </si>
  <si>
    <t>NT932</t>
  </si>
  <si>
    <t>NT933</t>
  </si>
  <si>
    <t>HeadNeck_64HC3-7;NC1</t>
  </si>
  <si>
    <t>NT934</t>
  </si>
  <si>
    <t>NT936</t>
  </si>
  <si>
    <t>NT939</t>
  </si>
  <si>
    <t>NT940</t>
  </si>
  <si>
    <t>NT941</t>
  </si>
  <si>
    <t>NT942</t>
  </si>
  <si>
    <t>NT943</t>
  </si>
  <si>
    <t>NT952</t>
  </si>
  <si>
    <t>NT956</t>
  </si>
  <si>
    <t>NT957</t>
  </si>
  <si>
    <t>NT958</t>
  </si>
  <si>
    <t>NT961</t>
  </si>
  <si>
    <t>NT963</t>
  </si>
  <si>
    <t>MATCHED:</t>
  </si>
  <si>
    <t># matches</t>
  </si>
  <si>
    <t>MEAN</t>
  </si>
  <si>
    <t>MAX</t>
  </si>
  <si>
    <t>90%ile</t>
  </si>
  <si>
    <t>non-RH</t>
  </si>
  <si>
    <t>error</t>
  </si>
  <si>
    <t>abs.error</t>
  </si>
  <si>
    <t>next highest</t>
  </si>
  <si>
    <t>|error|</t>
  </si>
  <si>
    <t>MEDIAN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</si>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</sst>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quotePrefix="1"/>
    <xf numFmtId="2" fontId="0" fillId="0" borderId="0" xfId="0" applyNumberFormat="1"/>
    <xf numFmtId="0" fontId="16" fillId="0" borderId="0" xfId="0" applyFont="1"/>
    <xf numFmtId="2" fontId="16" fillId="0" borderId="0" xfId="0" applyNumberFormat="1" applyFont="1"/>
    <xf numFmtId="0" fontId="18" fillId="0" borderId="0" xfId="0" applyFont="1" applyAlignment="1"/>
    <xf numFmtId="2" fontId="18" fillId="0" borderId="0" xfId="0" applyNumberFormat="1" applyFont="1"/>
    <xf numFmtId="0" fontId="0" fillId="33" borderId="0" xfId="0" applyFill="1"/>
    <xf numFmtId="0" fontId="0" fillId="34" borderId="0" xfId="0" applyFill="1"/>
    <xf numFmtId="0" fontId="16" fillId="34" borderId="0" xfId="0" applyFont="1" applyFill="1"/>
    <xf numFmtId="0" fontId="16" fillId="33" borderId="0" xfId="0" applyFont="1" applyFill="1"/>
    <xf numFmtId="164" fontId="16" fillId="0" borderId="0" xfId="0" applyNumberFormat="1" applyFont="1"/>
    <xf numFmtId="0" fontId="16" fillId="35" borderId="0" xfId="0" applyFont="1" applyFill="1"/>
    <xf numFmtId="1" fontId="16" fillId="0" borderId="0" xfId="0" applyNumberFormat="1" applyFont="1"/>
    <xf numFmtId="1" fontId="16" fillId="35" borderId="0" xfId="0" applyNumberFormat="1" applyFont="1" applyFill="1"/>
    <xf numFmtId="2" fontId="16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C00000"/>
      </font>
      <fill>
        <patternFill>
          <bgColor rgb="FFFFB9B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13EE-4142-4639-B867-7B951873CA13}">
  <dimension ref="A1:AE100"/>
  <sheetViews>
    <sheetView topLeftCell="A19" workbookViewId="0">
      <selection activeCell="A23" sqref="A23:XFD100"/>
    </sheetView>
  </sheetViews>
  <sheetFormatPr defaultRowHeight="14.5" x14ac:dyDescent="0.35"/>
  <cols>
    <col min="6" max="6" width="15.08984375" style="2" bestFit="1" customWidth="1"/>
    <col min="9" max="9" width="19.7265625" bestFit="1" customWidth="1"/>
    <col min="10" max="10" width="9.81640625" bestFit="1" customWidth="1"/>
    <col min="13" max="13" width="19.4531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 t="s">
        <v>53</v>
      </c>
      <c r="B2" t="s">
        <v>53</v>
      </c>
      <c r="C2" t="s">
        <v>32</v>
      </c>
      <c r="D2" t="s">
        <v>54</v>
      </c>
      <c r="E2" t="s">
        <v>34</v>
      </c>
      <c r="F2" s="2">
        <v>5.63997262149213</v>
      </c>
      <c r="G2">
        <v>10</v>
      </c>
      <c r="H2">
        <v>27</v>
      </c>
      <c r="I2">
        <v>98</v>
      </c>
      <c r="J2" t="s">
        <v>35</v>
      </c>
      <c r="K2" t="s">
        <v>36</v>
      </c>
      <c r="L2">
        <v>67064</v>
      </c>
      <c r="M2">
        <v>5.6</v>
      </c>
      <c r="N2" t="s">
        <v>32</v>
      </c>
      <c r="O2">
        <v>3.9972621492130302E-2</v>
      </c>
      <c r="P2" t="s">
        <v>38</v>
      </c>
      <c r="Q2" t="s">
        <v>39</v>
      </c>
      <c r="R2" t="s">
        <v>48</v>
      </c>
      <c r="S2" t="s">
        <v>41</v>
      </c>
      <c r="T2">
        <v>2500</v>
      </c>
      <c r="U2">
        <v>2.9</v>
      </c>
      <c r="V2">
        <v>1070</v>
      </c>
      <c r="W2">
        <v>8</v>
      </c>
      <c r="X2">
        <v>240</v>
      </c>
      <c r="Y2" t="s">
        <v>42</v>
      </c>
      <c r="Z2" t="s">
        <v>43</v>
      </c>
      <c r="AA2" t="s">
        <v>44</v>
      </c>
      <c r="AB2">
        <v>1</v>
      </c>
      <c r="AC2">
        <v>1</v>
      </c>
      <c r="AE2">
        <v>1</v>
      </c>
    </row>
    <row r="3" spans="1:31" x14ac:dyDescent="0.35">
      <c r="A3" t="s">
        <v>55</v>
      </c>
      <c r="B3" t="s">
        <v>55</v>
      </c>
      <c r="C3" t="s">
        <v>32</v>
      </c>
      <c r="D3" t="s">
        <v>54</v>
      </c>
      <c r="E3" t="s">
        <v>34</v>
      </c>
      <c r="F3" s="2">
        <v>6.2176591375769998</v>
      </c>
      <c r="G3">
        <v>0</v>
      </c>
      <c r="H3">
        <v>7</v>
      </c>
      <c r="I3">
        <v>111</v>
      </c>
      <c r="J3" t="s">
        <v>35</v>
      </c>
      <c r="K3" t="s">
        <v>36</v>
      </c>
      <c r="L3">
        <v>67064</v>
      </c>
      <c r="M3">
        <v>6.2</v>
      </c>
      <c r="N3" t="s">
        <v>32</v>
      </c>
      <c r="O3">
        <v>1.7659137576999599E-2</v>
      </c>
      <c r="P3" t="s">
        <v>38</v>
      </c>
      <c r="Q3" t="s">
        <v>39</v>
      </c>
      <c r="R3" t="s">
        <v>48</v>
      </c>
      <c r="S3" t="s">
        <v>41</v>
      </c>
      <c r="T3">
        <v>2500</v>
      </c>
      <c r="U3">
        <v>2.9</v>
      </c>
      <c r="V3">
        <v>1070</v>
      </c>
      <c r="W3">
        <v>8</v>
      </c>
      <c r="X3">
        <v>240</v>
      </c>
      <c r="Y3" t="s">
        <v>42</v>
      </c>
      <c r="Z3" t="s">
        <v>43</v>
      </c>
      <c r="AA3" t="s">
        <v>44</v>
      </c>
      <c r="AB3">
        <v>1</v>
      </c>
      <c r="AC3">
        <v>1</v>
      </c>
      <c r="AE3">
        <v>1</v>
      </c>
    </row>
    <row r="4" spans="1:31" x14ac:dyDescent="0.35">
      <c r="A4" t="s">
        <v>62</v>
      </c>
      <c r="B4" t="s">
        <v>62</v>
      </c>
      <c r="C4" t="s">
        <v>32</v>
      </c>
      <c r="D4" t="s">
        <v>54</v>
      </c>
      <c r="E4" t="s">
        <v>51</v>
      </c>
      <c r="F4" s="2">
        <v>5.6208076659822002</v>
      </c>
      <c r="G4">
        <v>5</v>
      </c>
      <c r="H4">
        <v>18</v>
      </c>
      <c r="I4">
        <v>47</v>
      </c>
      <c r="J4" t="s">
        <v>35</v>
      </c>
      <c r="K4" t="s">
        <v>36</v>
      </c>
      <c r="L4">
        <v>67064</v>
      </c>
      <c r="M4">
        <v>5.6</v>
      </c>
      <c r="N4" t="s">
        <v>32</v>
      </c>
      <c r="O4">
        <v>2.0807665982200501E-2</v>
      </c>
      <c r="P4" t="s">
        <v>38</v>
      </c>
      <c r="Q4" t="s">
        <v>39</v>
      </c>
      <c r="R4" t="s">
        <v>48</v>
      </c>
      <c r="S4" t="s">
        <v>41</v>
      </c>
      <c r="T4">
        <v>2500</v>
      </c>
      <c r="U4">
        <v>2.9</v>
      </c>
      <c r="V4">
        <v>1070</v>
      </c>
      <c r="W4">
        <v>8</v>
      </c>
      <c r="X4">
        <v>240</v>
      </c>
      <c r="Y4" t="s">
        <v>42</v>
      </c>
      <c r="Z4" t="s">
        <v>43</v>
      </c>
      <c r="AA4" t="s">
        <v>44</v>
      </c>
      <c r="AB4">
        <v>1</v>
      </c>
      <c r="AC4">
        <v>1</v>
      </c>
      <c r="AE4">
        <v>1</v>
      </c>
    </row>
    <row r="5" spans="1:31" x14ac:dyDescent="0.35">
      <c r="A5" t="s">
        <v>68</v>
      </c>
      <c r="B5" t="s">
        <v>68</v>
      </c>
      <c r="C5" t="s">
        <v>32</v>
      </c>
      <c r="D5" t="s">
        <v>54</v>
      </c>
      <c r="E5" t="s">
        <v>34</v>
      </c>
      <c r="F5" s="2">
        <v>5.8918548939082802</v>
      </c>
      <c r="G5">
        <v>20</v>
      </c>
      <c r="H5">
        <v>22</v>
      </c>
      <c r="I5">
        <v>148</v>
      </c>
      <c r="J5" t="s">
        <v>35</v>
      </c>
      <c r="K5" t="s">
        <v>36</v>
      </c>
      <c r="L5">
        <v>67064</v>
      </c>
      <c r="M5">
        <v>5.9</v>
      </c>
      <c r="N5" t="s">
        <v>32</v>
      </c>
      <c r="O5">
        <v>8.1451060917201393E-3</v>
      </c>
      <c r="P5" t="s">
        <v>38</v>
      </c>
      <c r="Q5" t="s">
        <v>39</v>
      </c>
      <c r="R5" t="s">
        <v>48</v>
      </c>
      <c r="S5" t="s">
        <v>41</v>
      </c>
      <c r="T5">
        <v>2500</v>
      </c>
      <c r="U5">
        <v>2.9</v>
      </c>
      <c r="V5">
        <v>1070</v>
      </c>
      <c r="W5">
        <v>8</v>
      </c>
      <c r="X5">
        <v>240</v>
      </c>
      <c r="Y5" t="s">
        <v>42</v>
      </c>
      <c r="Z5" t="s">
        <v>43</v>
      </c>
      <c r="AA5" t="s">
        <v>44</v>
      </c>
      <c r="AB5">
        <v>1</v>
      </c>
      <c r="AC5">
        <v>1</v>
      </c>
      <c r="AE5">
        <v>1</v>
      </c>
    </row>
    <row r="6" spans="1:31" x14ac:dyDescent="0.35">
      <c r="A6" t="s">
        <v>79</v>
      </c>
      <c r="B6" t="s">
        <v>79</v>
      </c>
      <c r="C6" t="s">
        <v>32</v>
      </c>
      <c r="D6" t="s">
        <v>54</v>
      </c>
      <c r="E6" t="s">
        <v>34</v>
      </c>
      <c r="F6" s="2">
        <v>9.4866529774127297</v>
      </c>
      <c r="G6">
        <v>0</v>
      </c>
      <c r="H6">
        <v>12</v>
      </c>
      <c r="I6">
        <v>333</v>
      </c>
      <c r="J6" t="s">
        <v>35</v>
      </c>
      <c r="K6" t="s">
        <v>36</v>
      </c>
      <c r="L6">
        <v>67064</v>
      </c>
      <c r="M6">
        <v>9.5</v>
      </c>
      <c r="N6" t="s">
        <v>32</v>
      </c>
      <c r="O6" s="1">
        <v>1.33470225872702E-2</v>
      </c>
      <c r="P6" t="s">
        <v>38</v>
      </c>
      <c r="Q6" t="s">
        <v>39</v>
      </c>
      <c r="R6" t="s">
        <v>48</v>
      </c>
      <c r="S6" t="s">
        <v>41</v>
      </c>
      <c r="T6">
        <v>2500</v>
      </c>
      <c r="U6">
        <v>2.9</v>
      </c>
      <c r="V6">
        <v>1070</v>
      </c>
      <c r="W6">
        <v>8</v>
      </c>
      <c r="X6">
        <v>240</v>
      </c>
      <c r="Y6" t="s">
        <v>42</v>
      </c>
      <c r="Z6" t="s">
        <v>43</v>
      </c>
      <c r="AA6" t="s">
        <v>44</v>
      </c>
      <c r="AB6">
        <v>1</v>
      </c>
      <c r="AC6">
        <v>1</v>
      </c>
      <c r="AE6">
        <v>1</v>
      </c>
    </row>
    <row r="7" spans="1:31" x14ac:dyDescent="0.35">
      <c r="A7" t="s">
        <v>82</v>
      </c>
      <c r="B7" t="s">
        <v>82</v>
      </c>
      <c r="C7" t="s">
        <v>32</v>
      </c>
      <c r="D7" t="s">
        <v>54</v>
      </c>
      <c r="E7" t="s">
        <v>34</v>
      </c>
      <c r="F7" s="2">
        <v>6.1546885694729596</v>
      </c>
      <c r="G7">
        <v>5</v>
      </c>
      <c r="H7">
        <v>21</v>
      </c>
      <c r="I7">
        <v>291</v>
      </c>
      <c r="J7" t="s">
        <v>35</v>
      </c>
      <c r="K7" t="s">
        <v>36</v>
      </c>
      <c r="L7">
        <v>67064</v>
      </c>
      <c r="M7">
        <v>6.2</v>
      </c>
      <c r="N7" t="s">
        <v>32</v>
      </c>
      <c r="O7" s="1">
        <v>4.5311430527040501E-2</v>
      </c>
      <c r="P7" t="s">
        <v>38</v>
      </c>
      <c r="Q7" t="s">
        <v>39</v>
      </c>
      <c r="R7" t="s">
        <v>48</v>
      </c>
      <c r="S7" t="s">
        <v>41</v>
      </c>
      <c r="T7">
        <v>2500</v>
      </c>
      <c r="U7">
        <v>2.9</v>
      </c>
      <c r="V7">
        <v>1070</v>
      </c>
      <c r="W7">
        <v>8</v>
      </c>
      <c r="X7">
        <v>240</v>
      </c>
      <c r="Y7" t="s">
        <v>42</v>
      </c>
      <c r="Z7" t="s">
        <v>43</v>
      </c>
      <c r="AA7" t="s">
        <v>44</v>
      </c>
      <c r="AB7">
        <v>1</v>
      </c>
      <c r="AC7">
        <v>1</v>
      </c>
      <c r="AE7">
        <v>1</v>
      </c>
    </row>
    <row r="8" spans="1:31" x14ac:dyDescent="0.35">
      <c r="A8" t="s">
        <v>90</v>
      </c>
      <c r="B8" t="s">
        <v>90</v>
      </c>
      <c r="C8" t="s">
        <v>32</v>
      </c>
      <c r="D8" t="s">
        <v>54</v>
      </c>
      <c r="E8" t="s">
        <v>34</v>
      </c>
      <c r="F8" s="2">
        <v>8.8788501026694</v>
      </c>
      <c r="G8">
        <v>5</v>
      </c>
      <c r="H8">
        <v>10</v>
      </c>
      <c r="I8">
        <v>174</v>
      </c>
      <c r="J8" t="s">
        <v>35</v>
      </c>
      <c r="K8" t="s">
        <v>36</v>
      </c>
      <c r="L8">
        <v>67064</v>
      </c>
      <c r="M8">
        <v>8.9</v>
      </c>
      <c r="N8" t="s">
        <v>32</v>
      </c>
      <c r="O8" s="1">
        <v>2.1149897330600301E-2</v>
      </c>
      <c r="P8" t="s">
        <v>38</v>
      </c>
      <c r="Q8" t="s">
        <v>39</v>
      </c>
      <c r="R8" t="s">
        <v>48</v>
      </c>
      <c r="S8" t="s">
        <v>41</v>
      </c>
      <c r="T8">
        <v>2500</v>
      </c>
      <c r="U8">
        <v>2.9</v>
      </c>
      <c r="V8">
        <v>1070</v>
      </c>
      <c r="W8">
        <v>8</v>
      </c>
      <c r="X8">
        <v>240</v>
      </c>
      <c r="Y8" t="s">
        <v>42</v>
      </c>
      <c r="Z8" t="s">
        <v>43</v>
      </c>
      <c r="AA8" t="s">
        <v>44</v>
      </c>
      <c r="AB8">
        <v>1</v>
      </c>
      <c r="AC8">
        <v>1</v>
      </c>
      <c r="AE8">
        <v>1</v>
      </c>
    </row>
    <row r="9" spans="1:31" x14ac:dyDescent="0.35">
      <c r="A9" t="s">
        <v>91</v>
      </c>
      <c r="B9" t="s">
        <v>92</v>
      </c>
      <c r="C9" t="s">
        <v>32</v>
      </c>
      <c r="D9" t="s">
        <v>54</v>
      </c>
      <c r="E9" t="s">
        <v>34</v>
      </c>
      <c r="F9" s="2">
        <v>10.234086242299799</v>
      </c>
      <c r="G9">
        <v>10</v>
      </c>
      <c r="H9">
        <v>16</v>
      </c>
      <c r="I9">
        <v>253</v>
      </c>
      <c r="J9" t="s">
        <v>35</v>
      </c>
      <c r="K9" t="s">
        <v>36</v>
      </c>
      <c r="L9">
        <v>67064</v>
      </c>
      <c r="M9">
        <v>10.199999999999999</v>
      </c>
      <c r="N9" t="s">
        <v>32</v>
      </c>
      <c r="O9">
        <v>3.40862422998E-2</v>
      </c>
      <c r="P9" t="s">
        <v>38</v>
      </c>
      <c r="Q9" t="s">
        <v>39</v>
      </c>
      <c r="R9" t="s">
        <v>48</v>
      </c>
      <c r="S9" t="s">
        <v>41</v>
      </c>
      <c r="T9">
        <v>2500</v>
      </c>
      <c r="U9">
        <v>2.9</v>
      </c>
      <c r="V9">
        <v>1070</v>
      </c>
      <c r="W9">
        <v>8</v>
      </c>
      <c r="X9">
        <v>240</v>
      </c>
      <c r="Y9" t="s">
        <v>42</v>
      </c>
      <c r="Z9" t="s">
        <v>43</v>
      </c>
      <c r="AA9" t="s">
        <v>44</v>
      </c>
      <c r="AB9">
        <v>1</v>
      </c>
      <c r="AC9">
        <v>1</v>
      </c>
      <c r="AE9">
        <v>1</v>
      </c>
    </row>
    <row r="10" spans="1:31" x14ac:dyDescent="0.35">
      <c r="A10" t="s">
        <v>106</v>
      </c>
      <c r="B10" t="s">
        <v>106</v>
      </c>
      <c r="C10" t="s">
        <v>32</v>
      </c>
      <c r="D10" t="s">
        <v>54</v>
      </c>
      <c r="E10" t="s">
        <v>34</v>
      </c>
      <c r="F10" s="2">
        <v>9.1362080766598197</v>
      </c>
      <c r="G10">
        <v>0</v>
      </c>
      <c r="H10">
        <v>24</v>
      </c>
      <c r="I10">
        <v>227</v>
      </c>
      <c r="J10" t="s">
        <v>35</v>
      </c>
      <c r="K10" t="s">
        <v>36</v>
      </c>
      <c r="L10">
        <v>67064</v>
      </c>
      <c r="M10">
        <v>9.1</v>
      </c>
      <c r="N10" t="s">
        <v>32</v>
      </c>
      <c r="O10" s="1">
        <v>3.6208076659820003E-2</v>
      </c>
      <c r="P10" t="s">
        <v>38</v>
      </c>
      <c r="Q10" t="s">
        <v>39</v>
      </c>
      <c r="R10" t="s">
        <v>48</v>
      </c>
      <c r="S10" t="s">
        <v>41</v>
      </c>
      <c r="T10">
        <v>2500</v>
      </c>
      <c r="U10">
        <v>2.9</v>
      </c>
      <c r="V10">
        <v>1070</v>
      </c>
      <c r="W10">
        <v>8</v>
      </c>
      <c r="X10">
        <v>240</v>
      </c>
      <c r="Y10" t="s">
        <v>42</v>
      </c>
      <c r="Z10" t="s">
        <v>43</v>
      </c>
      <c r="AA10" t="s">
        <v>44</v>
      </c>
      <c r="AB10">
        <v>1</v>
      </c>
      <c r="AC10">
        <v>1</v>
      </c>
      <c r="AE10">
        <v>1</v>
      </c>
    </row>
    <row r="11" spans="1:31" x14ac:dyDescent="0.35">
      <c r="A11" t="s">
        <v>114</v>
      </c>
      <c r="B11" t="s">
        <v>114</v>
      </c>
      <c r="C11" t="s">
        <v>32</v>
      </c>
      <c r="D11" t="s">
        <v>54</v>
      </c>
      <c r="E11" t="s">
        <v>34</v>
      </c>
      <c r="F11" s="2">
        <v>6.9431895961670103</v>
      </c>
      <c r="G11">
        <v>0</v>
      </c>
      <c r="H11">
        <v>21</v>
      </c>
      <c r="I11">
        <v>134</v>
      </c>
      <c r="J11" t="s">
        <v>35</v>
      </c>
      <c r="K11" t="s">
        <v>36</v>
      </c>
      <c r="L11">
        <v>67064</v>
      </c>
      <c r="M11">
        <v>6.9</v>
      </c>
      <c r="N11" t="s">
        <v>32</v>
      </c>
      <c r="O11">
        <v>4.3189596167009903E-2</v>
      </c>
      <c r="P11" t="s">
        <v>38</v>
      </c>
      <c r="Q11" t="s">
        <v>39</v>
      </c>
      <c r="R11" t="s">
        <v>48</v>
      </c>
      <c r="S11" t="s">
        <v>41</v>
      </c>
      <c r="T11">
        <v>2500</v>
      </c>
      <c r="U11">
        <v>2.9</v>
      </c>
      <c r="V11">
        <v>1070</v>
      </c>
      <c r="W11">
        <v>8</v>
      </c>
      <c r="X11">
        <v>240</v>
      </c>
      <c r="Y11" t="s">
        <v>42</v>
      </c>
      <c r="Z11" t="s">
        <v>43</v>
      </c>
      <c r="AA11" t="s">
        <v>44</v>
      </c>
      <c r="AB11">
        <v>1</v>
      </c>
      <c r="AC11">
        <v>1</v>
      </c>
      <c r="AE11">
        <v>1</v>
      </c>
    </row>
    <row r="12" spans="1:31" x14ac:dyDescent="0.35">
      <c r="A12" t="s">
        <v>134</v>
      </c>
      <c r="B12" t="s">
        <v>134</v>
      </c>
      <c r="C12" t="s">
        <v>32</v>
      </c>
      <c r="D12" t="s">
        <v>54</v>
      </c>
      <c r="E12" t="s">
        <v>51</v>
      </c>
      <c r="F12" s="2">
        <v>7.9370294318959598</v>
      </c>
      <c r="G12">
        <v>30</v>
      </c>
      <c r="H12">
        <v>11</v>
      </c>
      <c r="I12">
        <v>185</v>
      </c>
      <c r="J12" t="s">
        <v>35</v>
      </c>
      <c r="K12" t="s">
        <v>36</v>
      </c>
      <c r="L12">
        <v>67064</v>
      </c>
      <c r="M12">
        <v>7.9</v>
      </c>
      <c r="N12" t="s">
        <v>32</v>
      </c>
      <c r="O12">
        <v>3.7029431895959398E-2</v>
      </c>
      <c r="P12" t="s">
        <v>38</v>
      </c>
      <c r="Q12" t="s">
        <v>39</v>
      </c>
      <c r="R12" t="s">
        <v>40</v>
      </c>
      <c r="S12" t="s">
        <v>41</v>
      </c>
      <c r="T12">
        <v>2500</v>
      </c>
      <c r="U12">
        <v>2.9</v>
      </c>
      <c r="V12">
        <v>1070</v>
      </c>
      <c r="W12">
        <v>8</v>
      </c>
      <c r="X12">
        <v>240</v>
      </c>
      <c r="Y12" t="s">
        <v>42</v>
      </c>
      <c r="Z12" t="s">
        <v>43</v>
      </c>
      <c r="AA12" t="s">
        <v>44</v>
      </c>
      <c r="AB12">
        <v>1</v>
      </c>
      <c r="AC12">
        <v>1</v>
      </c>
      <c r="AE12">
        <v>1</v>
      </c>
    </row>
    <row r="13" spans="1:31" x14ac:dyDescent="0.35">
      <c r="A13" t="s">
        <v>139</v>
      </c>
      <c r="B13" t="s">
        <v>139</v>
      </c>
      <c r="C13" t="s">
        <v>32</v>
      </c>
      <c r="D13" t="s">
        <v>54</v>
      </c>
      <c r="E13" t="s">
        <v>34</v>
      </c>
      <c r="F13" s="2">
        <v>9.8945927446954105</v>
      </c>
      <c r="G13">
        <v>10</v>
      </c>
      <c r="H13">
        <v>13</v>
      </c>
      <c r="I13">
        <v>93</v>
      </c>
      <c r="J13" t="s">
        <v>35</v>
      </c>
      <c r="K13" t="s">
        <v>36</v>
      </c>
      <c r="L13">
        <v>67064</v>
      </c>
      <c r="M13">
        <v>9.9</v>
      </c>
      <c r="N13" t="s">
        <v>32</v>
      </c>
      <c r="O13">
        <v>5.4072553045898496E-3</v>
      </c>
      <c r="P13" t="s">
        <v>38</v>
      </c>
      <c r="Q13" t="s">
        <v>39</v>
      </c>
      <c r="R13" t="s">
        <v>140</v>
      </c>
      <c r="S13" t="s">
        <v>41</v>
      </c>
      <c r="T13">
        <v>2500</v>
      </c>
      <c r="U13">
        <v>2.9</v>
      </c>
      <c r="V13">
        <v>1070</v>
      </c>
      <c r="W13">
        <v>8</v>
      </c>
      <c r="X13">
        <v>240</v>
      </c>
      <c r="Y13" t="s">
        <v>42</v>
      </c>
      <c r="Z13" t="s">
        <v>43</v>
      </c>
      <c r="AA13" t="s">
        <v>44</v>
      </c>
      <c r="AB13">
        <v>1</v>
      </c>
      <c r="AC13">
        <v>1</v>
      </c>
      <c r="AE13">
        <v>1</v>
      </c>
    </row>
    <row r="14" spans="1:31" x14ac:dyDescent="0.35">
      <c r="A14" t="s">
        <v>141</v>
      </c>
      <c r="B14" t="s">
        <v>141</v>
      </c>
      <c r="C14" t="s">
        <v>32</v>
      </c>
      <c r="D14" t="s">
        <v>54</v>
      </c>
      <c r="E14" t="s">
        <v>34</v>
      </c>
      <c r="F14" s="2">
        <v>9.39082819986311</v>
      </c>
      <c r="G14">
        <v>20</v>
      </c>
      <c r="H14">
        <v>19</v>
      </c>
      <c r="I14">
        <v>201</v>
      </c>
      <c r="J14" t="s">
        <v>35</v>
      </c>
      <c r="K14" t="s">
        <v>36</v>
      </c>
      <c r="L14">
        <v>67064</v>
      </c>
      <c r="M14">
        <v>9.4</v>
      </c>
      <c r="N14" t="s">
        <v>32</v>
      </c>
      <c r="O14">
        <v>9.1718001368903401E-3</v>
      </c>
      <c r="P14" t="s">
        <v>38</v>
      </c>
      <c r="Q14" t="s">
        <v>39</v>
      </c>
      <c r="R14" t="s">
        <v>40</v>
      </c>
      <c r="S14" t="s">
        <v>41</v>
      </c>
      <c r="T14">
        <v>2500</v>
      </c>
      <c r="U14">
        <v>2.9</v>
      </c>
      <c r="V14">
        <v>1070</v>
      </c>
      <c r="W14">
        <v>8</v>
      </c>
      <c r="X14">
        <v>240</v>
      </c>
      <c r="Y14" t="s">
        <v>42</v>
      </c>
      <c r="Z14" t="s">
        <v>43</v>
      </c>
      <c r="AA14" t="s">
        <v>44</v>
      </c>
      <c r="AB14">
        <v>1</v>
      </c>
      <c r="AC14">
        <v>1</v>
      </c>
      <c r="AE14">
        <v>1</v>
      </c>
    </row>
    <row r="15" spans="1:31" x14ac:dyDescent="0.35">
      <c r="A15" t="s">
        <v>146</v>
      </c>
      <c r="B15" t="s">
        <v>146</v>
      </c>
      <c r="C15" t="s">
        <v>32</v>
      </c>
      <c r="D15" t="s">
        <v>54</v>
      </c>
      <c r="E15" t="s">
        <v>34</v>
      </c>
      <c r="F15" s="2">
        <v>10.926762491444199</v>
      </c>
      <c r="G15">
        <v>20</v>
      </c>
      <c r="H15">
        <v>26</v>
      </c>
      <c r="I15">
        <v>354</v>
      </c>
      <c r="J15" t="s">
        <v>35</v>
      </c>
      <c r="K15" t="s">
        <v>36</v>
      </c>
      <c r="L15">
        <v>67064</v>
      </c>
      <c r="M15">
        <v>10.9</v>
      </c>
      <c r="N15" t="s">
        <v>32</v>
      </c>
      <c r="O15" s="1">
        <v>2.6762491444198799E-2</v>
      </c>
      <c r="P15" t="s">
        <v>38</v>
      </c>
      <c r="Q15" t="s">
        <v>39</v>
      </c>
      <c r="R15" t="s">
        <v>40</v>
      </c>
      <c r="S15" t="s">
        <v>41</v>
      </c>
      <c r="T15">
        <v>2500</v>
      </c>
      <c r="U15">
        <v>2.9</v>
      </c>
      <c r="V15">
        <v>1070</v>
      </c>
      <c r="W15">
        <v>8</v>
      </c>
      <c r="X15">
        <v>240</v>
      </c>
      <c r="Y15" t="s">
        <v>42</v>
      </c>
      <c r="Z15" t="s">
        <v>43</v>
      </c>
      <c r="AA15" t="s">
        <v>44</v>
      </c>
      <c r="AB15">
        <v>1</v>
      </c>
      <c r="AC15">
        <v>1</v>
      </c>
      <c r="AE15">
        <v>1</v>
      </c>
    </row>
    <row r="16" spans="1:31" x14ac:dyDescent="0.35">
      <c r="A16" t="s">
        <v>61</v>
      </c>
      <c r="B16" t="s">
        <v>61</v>
      </c>
      <c r="C16" t="s">
        <v>58</v>
      </c>
      <c r="D16" t="s">
        <v>54</v>
      </c>
      <c r="E16" t="s">
        <v>51</v>
      </c>
      <c r="F16" s="2">
        <v>9.1444216290212204</v>
      </c>
      <c r="G16">
        <v>0</v>
      </c>
      <c r="H16">
        <v>7</v>
      </c>
      <c r="I16">
        <v>468</v>
      </c>
      <c r="J16" t="s">
        <v>35</v>
      </c>
      <c r="K16" t="s">
        <v>36</v>
      </c>
      <c r="L16">
        <v>67064</v>
      </c>
      <c r="M16">
        <v>9.1</v>
      </c>
      <c r="N16" t="s">
        <v>58</v>
      </c>
      <c r="O16">
        <v>4.4421629021220703E-2</v>
      </c>
      <c r="P16" t="s">
        <v>59</v>
      </c>
      <c r="Q16" t="s">
        <v>39</v>
      </c>
      <c r="R16" t="s">
        <v>48</v>
      </c>
      <c r="S16" t="s">
        <v>41</v>
      </c>
      <c r="T16">
        <v>2500</v>
      </c>
      <c r="U16">
        <v>2.9</v>
      </c>
      <c r="V16">
        <v>1070</v>
      </c>
      <c r="W16">
        <v>8</v>
      </c>
      <c r="X16">
        <v>240</v>
      </c>
      <c r="Y16" t="s">
        <v>42</v>
      </c>
      <c r="Z16" t="s">
        <v>43</v>
      </c>
      <c r="AA16" t="s">
        <v>44</v>
      </c>
      <c r="AB16">
        <v>1</v>
      </c>
      <c r="AC16">
        <v>1</v>
      </c>
      <c r="AE16">
        <v>1</v>
      </c>
    </row>
    <row r="17" spans="1:31" x14ac:dyDescent="0.35">
      <c r="A17" t="s">
        <v>63</v>
      </c>
      <c r="B17" t="s">
        <v>63</v>
      </c>
      <c r="C17" t="s">
        <v>58</v>
      </c>
      <c r="D17" t="s">
        <v>54</v>
      </c>
      <c r="E17" t="s">
        <v>34</v>
      </c>
      <c r="F17" s="2">
        <v>6.1190965092402498</v>
      </c>
      <c r="G17">
        <v>10</v>
      </c>
      <c r="H17">
        <v>23</v>
      </c>
      <c r="I17">
        <v>753</v>
      </c>
      <c r="J17" t="s">
        <v>35</v>
      </c>
      <c r="K17" t="s">
        <v>36</v>
      </c>
      <c r="L17">
        <v>67064</v>
      </c>
      <c r="M17">
        <v>6.1</v>
      </c>
      <c r="N17" t="s">
        <v>58</v>
      </c>
      <c r="O17" s="1">
        <v>1.9096509240250099E-2</v>
      </c>
      <c r="P17" t="s">
        <v>59</v>
      </c>
      <c r="Q17" t="s">
        <v>39</v>
      </c>
      <c r="R17" t="s">
        <v>48</v>
      </c>
      <c r="S17" t="s">
        <v>41</v>
      </c>
      <c r="T17">
        <v>2500</v>
      </c>
      <c r="U17">
        <v>2.9</v>
      </c>
      <c r="V17">
        <v>1070</v>
      </c>
      <c r="W17">
        <v>8</v>
      </c>
      <c r="X17">
        <v>240</v>
      </c>
      <c r="Y17" t="s">
        <v>42</v>
      </c>
      <c r="Z17" t="s">
        <v>43</v>
      </c>
      <c r="AA17" t="s">
        <v>44</v>
      </c>
      <c r="AB17">
        <v>1</v>
      </c>
      <c r="AC17">
        <v>1</v>
      </c>
      <c r="AE17">
        <v>1</v>
      </c>
    </row>
    <row r="18" spans="1:31" x14ac:dyDescent="0.35">
      <c r="A18" t="s">
        <v>72</v>
      </c>
      <c r="B18" t="s">
        <v>72</v>
      </c>
      <c r="C18" t="s">
        <v>58</v>
      </c>
      <c r="D18" t="s">
        <v>54</v>
      </c>
      <c r="E18" t="s">
        <v>34</v>
      </c>
      <c r="F18" s="2">
        <v>5.1143052703627596</v>
      </c>
      <c r="G18">
        <v>0</v>
      </c>
      <c r="H18">
        <v>15</v>
      </c>
      <c r="I18">
        <v>413</v>
      </c>
      <c r="J18" t="s">
        <v>35</v>
      </c>
      <c r="K18" t="s">
        <v>36</v>
      </c>
      <c r="L18">
        <v>67064</v>
      </c>
      <c r="M18">
        <v>5.0999999999999996</v>
      </c>
      <c r="N18" t="s">
        <v>58</v>
      </c>
      <c r="O18">
        <v>1.43052703627599E-2</v>
      </c>
      <c r="P18" t="s">
        <v>59</v>
      </c>
      <c r="Q18" t="s">
        <v>39</v>
      </c>
      <c r="R18" t="s">
        <v>48</v>
      </c>
      <c r="S18" t="s">
        <v>41</v>
      </c>
      <c r="T18">
        <v>2500</v>
      </c>
      <c r="U18">
        <v>2.9</v>
      </c>
      <c r="V18">
        <v>1070</v>
      </c>
      <c r="W18">
        <v>8</v>
      </c>
      <c r="X18">
        <v>240</v>
      </c>
      <c r="Y18" t="s">
        <v>42</v>
      </c>
      <c r="Z18" t="s">
        <v>43</v>
      </c>
      <c r="AA18" t="s">
        <v>44</v>
      </c>
      <c r="AB18">
        <v>1</v>
      </c>
      <c r="AC18">
        <v>1</v>
      </c>
      <c r="AE18">
        <v>1</v>
      </c>
    </row>
    <row r="19" spans="1:31" x14ac:dyDescent="0.35">
      <c r="A19" t="s">
        <v>80</v>
      </c>
      <c r="B19" t="s">
        <v>80</v>
      </c>
      <c r="C19" t="s">
        <v>58</v>
      </c>
      <c r="D19" t="s">
        <v>54</v>
      </c>
      <c r="E19" t="s">
        <v>34</v>
      </c>
      <c r="F19" s="2">
        <v>10.4147843942505</v>
      </c>
      <c r="G19">
        <v>0</v>
      </c>
      <c r="H19">
        <v>13</v>
      </c>
      <c r="I19">
        <v>517</v>
      </c>
      <c r="J19" t="s">
        <v>35</v>
      </c>
      <c r="K19" t="s">
        <v>36</v>
      </c>
      <c r="L19">
        <v>67064</v>
      </c>
      <c r="M19">
        <v>10.4</v>
      </c>
      <c r="N19" t="s">
        <v>77</v>
      </c>
      <c r="O19" s="1">
        <v>1.47843942504994E-2</v>
      </c>
      <c r="P19" t="s">
        <v>59</v>
      </c>
      <c r="Q19" t="s">
        <v>39</v>
      </c>
      <c r="R19" t="s">
        <v>48</v>
      </c>
      <c r="S19" t="s">
        <v>41</v>
      </c>
      <c r="T19">
        <v>2500</v>
      </c>
      <c r="U19">
        <v>2.9</v>
      </c>
      <c r="V19">
        <v>1070</v>
      </c>
      <c r="W19">
        <v>8</v>
      </c>
      <c r="X19">
        <v>240</v>
      </c>
      <c r="Y19" t="s">
        <v>42</v>
      </c>
      <c r="Z19" t="s">
        <v>43</v>
      </c>
      <c r="AA19" t="s">
        <v>44</v>
      </c>
      <c r="AB19">
        <v>1</v>
      </c>
      <c r="AC19">
        <v>1</v>
      </c>
      <c r="AE19">
        <v>1</v>
      </c>
    </row>
    <row r="20" spans="1:31" x14ac:dyDescent="0.35">
      <c r="A20" t="s">
        <v>97</v>
      </c>
      <c r="B20" t="s">
        <v>97</v>
      </c>
      <c r="C20" t="s">
        <v>58</v>
      </c>
      <c r="D20" t="s">
        <v>54</v>
      </c>
      <c r="E20" t="s">
        <v>34</v>
      </c>
      <c r="F20" s="2">
        <v>8.7857631759069097</v>
      </c>
      <c r="G20">
        <v>10</v>
      </c>
      <c r="H20">
        <v>9</v>
      </c>
      <c r="I20">
        <v>491</v>
      </c>
      <c r="J20" t="s">
        <v>35</v>
      </c>
      <c r="K20" t="s">
        <v>36</v>
      </c>
      <c r="L20">
        <v>67064</v>
      </c>
      <c r="M20">
        <v>8.8000000000000007</v>
      </c>
      <c r="N20" t="s">
        <v>77</v>
      </c>
      <c r="O20" s="1">
        <v>1.4236824093091001E-2</v>
      </c>
      <c r="P20" t="s">
        <v>59</v>
      </c>
      <c r="Q20" t="s">
        <v>39</v>
      </c>
      <c r="R20" t="s">
        <v>48</v>
      </c>
      <c r="S20" t="s">
        <v>41</v>
      </c>
      <c r="T20">
        <v>2500</v>
      </c>
      <c r="U20">
        <v>2.9</v>
      </c>
      <c r="V20">
        <v>1070</v>
      </c>
      <c r="W20">
        <v>8</v>
      </c>
      <c r="X20">
        <v>240</v>
      </c>
      <c r="Y20" t="s">
        <v>42</v>
      </c>
      <c r="Z20" t="s">
        <v>43</v>
      </c>
      <c r="AA20" t="s">
        <v>44</v>
      </c>
      <c r="AB20">
        <v>1</v>
      </c>
      <c r="AC20">
        <v>1</v>
      </c>
      <c r="AE20">
        <v>1</v>
      </c>
    </row>
    <row r="21" spans="1:31" x14ac:dyDescent="0.35">
      <c r="A21" t="s">
        <v>117</v>
      </c>
      <c r="B21" t="s">
        <v>117</v>
      </c>
      <c r="C21" t="s">
        <v>58</v>
      </c>
      <c r="D21" t="s">
        <v>54</v>
      </c>
      <c r="E21" t="s">
        <v>34</v>
      </c>
      <c r="F21" s="2">
        <v>9.1416837782340892</v>
      </c>
      <c r="G21">
        <v>10</v>
      </c>
      <c r="H21">
        <v>7</v>
      </c>
      <c r="I21">
        <v>516</v>
      </c>
      <c r="J21" t="s">
        <v>35</v>
      </c>
      <c r="K21" t="s">
        <v>36</v>
      </c>
      <c r="L21">
        <v>67064</v>
      </c>
      <c r="M21">
        <v>9.1</v>
      </c>
      <c r="N21" t="s">
        <v>77</v>
      </c>
      <c r="O21">
        <v>4.1683778234089502E-2</v>
      </c>
      <c r="P21" t="s">
        <v>59</v>
      </c>
      <c r="Q21" t="s">
        <v>39</v>
      </c>
      <c r="R21" t="s">
        <v>40</v>
      </c>
      <c r="S21" t="s">
        <v>41</v>
      </c>
      <c r="T21">
        <v>2500</v>
      </c>
      <c r="U21">
        <v>2.9</v>
      </c>
      <c r="V21">
        <v>1070</v>
      </c>
      <c r="W21">
        <v>8</v>
      </c>
      <c r="X21">
        <v>240</v>
      </c>
      <c r="Y21" t="s">
        <v>42</v>
      </c>
      <c r="Z21" t="s">
        <v>43</v>
      </c>
      <c r="AA21" t="s">
        <v>44</v>
      </c>
      <c r="AB21">
        <v>1</v>
      </c>
      <c r="AC21">
        <v>1</v>
      </c>
      <c r="AE21">
        <v>1</v>
      </c>
    </row>
    <row r="22" spans="1:31" x14ac:dyDescent="0.35">
      <c r="A22" t="s">
        <v>125</v>
      </c>
      <c r="B22" t="s">
        <v>125</v>
      </c>
      <c r="C22" t="s">
        <v>58</v>
      </c>
      <c r="D22" t="s">
        <v>54</v>
      </c>
      <c r="E22" t="s">
        <v>34</v>
      </c>
      <c r="F22" s="2">
        <v>9.9383983572895307</v>
      </c>
      <c r="G22">
        <v>35</v>
      </c>
      <c r="H22">
        <v>33</v>
      </c>
      <c r="I22">
        <v>2211</v>
      </c>
      <c r="J22" t="s">
        <v>35</v>
      </c>
      <c r="K22" t="s">
        <v>36</v>
      </c>
      <c r="L22">
        <v>67064</v>
      </c>
      <c r="M22">
        <v>9.9</v>
      </c>
      <c r="N22" t="s">
        <v>58</v>
      </c>
      <c r="O22">
        <v>3.8398357289530297E-2</v>
      </c>
      <c r="P22" t="s">
        <v>59</v>
      </c>
      <c r="Q22" t="s">
        <v>39</v>
      </c>
      <c r="R22" t="s">
        <v>40</v>
      </c>
      <c r="S22" t="s">
        <v>41</v>
      </c>
      <c r="T22">
        <v>2500</v>
      </c>
      <c r="U22">
        <v>2.9</v>
      </c>
      <c r="V22">
        <v>1070</v>
      </c>
      <c r="W22">
        <v>8</v>
      </c>
      <c r="X22">
        <v>240</v>
      </c>
      <c r="Y22" t="s">
        <v>42</v>
      </c>
      <c r="Z22" t="s">
        <v>43</v>
      </c>
      <c r="AA22" t="s">
        <v>44</v>
      </c>
      <c r="AB22">
        <v>1</v>
      </c>
      <c r="AC22">
        <v>1</v>
      </c>
      <c r="AE22">
        <v>1</v>
      </c>
    </row>
    <row r="23" spans="1:31" x14ac:dyDescent="0.35">
      <c r="A23" t="s">
        <v>31</v>
      </c>
      <c r="B23" t="s">
        <v>31</v>
      </c>
      <c r="C23" t="s">
        <v>32</v>
      </c>
      <c r="D23" t="s">
        <v>33</v>
      </c>
      <c r="E23" t="s">
        <v>34</v>
      </c>
      <c r="F23" s="2">
        <v>6.4229979466119103</v>
      </c>
      <c r="G23">
        <v>0</v>
      </c>
      <c r="H23">
        <v>14</v>
      </c>
      <c r="I23">
        <v>53</v>
      </c>
      <c r="J23" t="s">
        <v>35</v>
      </c>
      <c r="K23" t="s">
        <v>36</v>
      </c>
      <c r="L23">
        <v>67064</v>
      </c>
      <c r="M23">
        <v>6.4</v>
      </c>
      <c r="N23" t="s">
        <v>37</v>
      </c>
      <c r="O23" s="1">
        <v>2.29979466119099E-2</v>
      </c>
      <c r="P23" t="s">
        <v>38</v>
      </c>
      <c r="Q23" t="s">
        <v>39</v>
      </c>
      <c r="R23" t="s">
        <v>40</v>
      </c>
      <c r="S23" t="s">
        <v>41</v>
      </c>
      <c r="T23">
        <v>2500</v>
      </c>
      <c r="U23">
        <v>2.88</v>
      </c>
      <c r="V23">
        <v>1060</v>
      </c>
      <c r="W23">
        <v>8</v>
      </c>
      <c r="X23">
        <v>240</v>
      </c>
      <c r="Y23" t="s">
        <v>42</v>
      </c>
      <c r="Z23" t="s">
        <v>43</v>
      </c>
      <c r="AA23" t="s">
        <v>44</v>
      </c>
      <c r="AB23">
        <v>1</v>
      </c>
      <c r="AC23">
        <v>1</v>
      </c>
      <c r="AE23">
        <v>1</v>
      </c>
    </row>
    <row r="24" spans="1:31" x14ac:dyDescent="0.35">
      <c r="A24" t="s">
        <v>45</v>
      </c>
      <c r="B24" t="s">
        <v>45</v>
      </c>
      <c r="C24" t="s">
        <v>32</v>
      </c>
      <c r="D24" t="s">
        <v>33</v>
      </c>
      <c r="E24" t="s">
        <v>34</v>
      </c>
      <c r="F24" s="2">
        <v>10.6502395619439</v>
      </c>
      <c r="G24">
        <v>10</v>
      </c>
      <c r="H24">
        <v>13</v>
      </c>
      <c r="I24">
        <v>107</v>
      </c>
      <c r="J24" t="s">
        <v>35</v>
      </c>
      <c r="K24" t="s">
        <v>36</v>
      </c>
      <c r="L24">
        <v>67064</v>
      </c>
      <c r="M24">
        <v>10.7</v>
      </c>
      <c r="N24" t="s">
        <v>37</v>
      </c>
      <c r="O24">
        <v>4.97604380560989E-2</v>
      </c>
      <c r="P24" t="s">
        <v>38</v>
      </c>
      <c r="Q24" t="s">
        <v>39</v>
      </c>
      <c r="R24" t="s">
        <v>40</v>
      </c>
      <c r="S24" t="s">
        <v>41</v>
      </c>
      <c r="T24">
        <v>2500</v>
      </c>
      <c r="U24">
        <v>2.88</v>
      </c>
      <c r="V24">
        <v>1060</v>
      </c>
      <c r="W24">
        <v>8</v>
      </c>
      <c r="X24">
        <v>240</v>
      </c>
      <c r="Y24" t="s">
        <v>42</v>
      </c>
      <c r="Z24" t="s">
        <v>43</v>
      </c>
      <c r="AA24" t="s">
        <v>44</v>
      </c>
      <c r="AB24">
        <v>1</v>
      </c>
      <c r="AC24">
        <v>1</v>
      </c>
      <c r="AE24">
        <v>1</v>
      </c>
    </row>
    <row r="25" spans="1:31" x14ac:dyDescent="0.35">
      <c r="A25" t="s">
        <v>46</v>
      </c>
      <c r="B25" t="s">
        <v>46</v>
      </c>
      <c r="C25" t="s">
        <v>32</v>
      </c>
      <c r="D25" t="s">
        <v>33</v>
      </c>
      <c r="E25" t="s">
        <v>34</v>
      </c>
      <c r="F25" s="2">
        <v>8.3887748117727607</v>
      </c>
      <c r="G25">
        <v>10</v>
      </c>
      <c r="H25">
        <v>19</v>
      </c>
      <c r="I25">
        <v>112</v>
      </c>
      <c r="J25" t="s">
        <v>35</v>
      </c>
      <c r="K25" t="s">
        <v>36</v>
      </c>
      <c r="L25">
        <v>67064</v>
      </c>
      <c r="M25">
        <v>8.4</v>
      </c>
      <c r="N25" t="s">
        <v>37</v>
      </c>
      <c r="O25" s="1">
        <v>1.1225188227239599E-2</v>
      </c>
      <c r="P25" t="s">
        <v>38</v>
      </c>
      <c r="Q25" t="s">
        <v>39</v>
      </c>
      <c r="R25" t="s">
        <v>40</v>
      </c>
      <c r="S25" t="s">
        <v>41</v>
      </c>
      <c r="T25">
        <v>2500</v>
      </c>
      <c r="U25">
        <v>2.88</v>
      </c>
      <c r="V25">
        <v>1060</v>
      </c>
      <c r="W25">
        <v>8</v>
      </c>
      <c r="X25">
        <v>240</v>
      </c>
      <c r="Y25" t="s">
        <v>42</v>
      </c>
      <c r="Z25" t="s">
        <v>43</v>
      </c>
      <c r="AA25" t="s">
        <v>44</v>
      </c>
      <c r="AB25">
        <v>1</v>
      </c>
      <c r="AC25">
        <v>1</v>
      </c>
      <c r="AE25">
        <v>1</v>
      </c>
    </row>
    <row r="26" spans="1:31" x14ac:dyDescent="0.35">
      <c r="A26" t="s">
        <v>47</v>
      </c>
      <c r="B26" t="s">
        <v>47</v>
      </c>
      <c r="C26" t="s">
        <v>32</v>
      </c>
      <c r="D26" t="s">
        <v>33</v>
      </c>
      <c r="E26" t="s">
        <v>34</v>
      </c>
      <c r="F26" s="2">
        <v>10.3162217659138</v>
      </c>
      <c r="G26">
        <v>0</v>
      </c>
      <c r="H26">
        <v>10</v>
      </c>
      <c r="I26">
        <v>95</v>
      </c>
      <c r="J26" t="s">
        <v>35</v>
      </c>
      <c r="K26" t="s">
        <v>36</v>
      </c>
      <c r="L26">
        <v>67064</v>
      </c>
      <c r="M26">
        <v>10.3</v>
      </c>
      <c r="N26" t="s">
        <v>37</v>
      </c>
      <c r="O26" s="1">
        <v>1.6221765913799702E-2</v>
      </c>
      <c r="P26" t="s">
        <v>38</v>
      </c>
      <c r="Q26" t="s">
        <v>39</v>
      </c>
      <c r="R26" t="s">
        <v>48</v>
      </c>
      <c r="S26" t="s">
        <v>41</v>
      </c>
      <c r="T26">
        <v>2500</v>
      </c>
      <c r="U26">
        <v>2.9</v>
      </c>
      <c r="V26">
        <v>1070</v>
      </c>
      <c r="W26">
        <v>8</v>
      </c>
      <c r="X26">
        <v>240</v>
      </c>
      <c r="Y26" t="s">
        <v>42</v>
      </c>
      <c r="Z26" t="s">
        <v>43</v>
      </c>
      <c r="AA26" t="s">
        <v>44</v>
      </c>
      <c r="AB26">
        <v>1</v>
      </c>
      <c r="AC26">
        <v>1</v>
      </c>
      <c r="AE26">
        <v>1</v>
      </c>
    </row>
    <row r="27" spans="1:31" x14ac:dyDescent="0.35">
      <c r="A27" t="s">
        <v>49</v>
      </c>
      <c r="B27" t="s">
        <v>49</v>
      </c>
      <c r="C27" t="s">
        <v>32</v>
      </c>
      <c r="D27" t="s">
        <v>33</v>
      </c>
      <c r="E27" t="s">
        <v>34</v>
      </c>
      <c r="F27" s="2">
        <v>5.7002053388090301</v>
      </c>
      <c r="G27">
        <v>0</v>
      </c>
      <c r="H27">
        <v>13</v>
      </c>
      <c r="I27">
        <v>111</v>
      </c>
      <c r="J27" t="s">
        <v>35</v>
      </c>
      <c r="K27" t="s">
        <v>36</v>
      </c>
      <c r="L27">
        <v>67064</v>
      </c>
      <c r="M27">
        <v>5.7</v>
      </c>
      <c r="N27" t="s">
        <v>37</v>
      </c>
      <c r="O27">
        <v>2.0533880902995301E-4</v>
      </c>
      <c r="P27" t="s">
        <v>38</v>
      </c>
      <c r="Q27" t="s">
        <v>39</v>
      </c>
      <c r="R27" t="s">
        <v>48</v>
      </c>
      <c r="S27" t="s">
        <v>41</v>
      </c>
      <c r="T27">
        <v>2500</v>
      </c>
      <c r="U27">
        <v>2.9</v>
      </c>
      <c r="V27">
        <v>1070</v>
      </c>
      <c r="W27">
        <v>8</v>
      </c>
      <c r="X27">
        <v>240</v>
      </c>
      <c r="Y27" t="s">
        <v>42</v>
      </c>
      <c r="Z27" t="s">
        <v>43</v>
      </c>
      <c r="AA27" t="s">
        <v>44</v>
      </c>
      <c r="AB27">
        <v>1</v>
      </c>
      <c r="AC27">
        <v>1</v>
      </c>
      <c r="AE27">
        <v>1</v>
      </c>
    </row>
    <row r="28" spans="1:31" x14ac:dyDescent="0.35">
      <c r="A28" t="s">
        <v>50</v>
      </c>
      <c r="B28" t="s">
        <v>50</v>
      </c>
      <c r="C28" t="s">
        <v>32</v>
      </c>
      <c r="D28" t="s">
        <v>33</v>
      </c>
      <c r="E28" t="s">
        <v>51</v>
      </c>
      <c r="F28" s="2">
        <v>7.2553045859000704</v>
      </c>
      <c r="G28">
        <v>0</v>
      </c>
      <c r="H28">
        <v>11</v>
      </c>
      <c r="I28">
        <v>159</v>
      </c>
      <c r="J28" t="s">
        <v>35</v>
      </c>
      <c r="K28" t="s">
        <v>36</v>
      </c>
      <c r="L28">
        <v>67064</v>
      </c>
      <c r="M28">
        <v>7.3</v>
      </c>
      <c r="N28" t="s">
        <v>37</v>
      </c>
      <c r="O28">
        <v>4.4695414099929297E-2</v>
      </c>
      <c r="P28" t="s">
        <v>38</v>
      </c>
      <c r="Q28" t="s">
        <v>39</v>
      </c>
      <c r="R28" t="s">
        <v>48</v>
      </c>
      <c r="S28" t="s">
        <v>41</v>
      </c>
      <c r="T28">
        <v>2500</v>
      </c>
      <c r="U28">
        <v>2.9</v>
      </c>
      <c r="V28">
        <v>1070</v>
      </c>
      <c r="W28">
        <v>8</v>
      </c>
      <c r="X28">
        <v>240</v>
      </c>
      <c r="Y28" t="s">
        <v>42</v>
      </c>
      <c r="Z28" t="s">
        <v>43</v>
      </c>
      <c r="AA28" t="s">
        <v>44</v>
      </c>
      <c r="AB28">
        <v>1</v>
      </c>
      <c r="AC28">
        <v>1</v>
      </c>
      <c r="AE28">
        <v>1</v>
      </c>
    </row>
    <row r="29" spans="1:31" x14ac:dyDescent="0.35">
      <c r="A29" t="s">
        <v>52</v>
      </c>
      <c r="B29" t="s">
        <v>52</v>
      </c>
      <c r="C29" t="s">
        <v>32</v>
      </c>
      <c r="D29" t="s">
        <v>33</v>
      </c>
      <c r="E29" t="s">
        <v>34</v>
      </c>
      <c r="F29" s="2">
        <v>6.34907597535934</v>
      </c>
      <c r="G29">
        <v>0</v>
      </c>
      <c r="H29">
        <v>17</v>
      </c>
      <c r="I29">
        <v>117</v>
      </c>
      <c r="J29" t="s">
        <v>35</v>
      </c>
      <c r="K29" t="s">
        <v>36</v>
      </c>
      <c r="L29">
        <v>67064</v>
      </c>
      <c r="M29">
        <v>6.3</v>
      </c>
      <c r="N29" t="s">
        <v>32</v>
      </c>
      <c r="O29">
        <v>4.90759753593401E-2</v>
      </c>
      <c r="P29" t="s">
        <v>38</v>
      </c>
      <c r="Q29" t="s">
        <v>39</v>
      </c>
      <c r="R29" t="s">
        <v>48</v>
      </c>
      <c r="S29" t="s">
        <v>41</v>
      </c>
      <c r="T29">
        <v>2500</v>
      </c>
      <c r="U29">
        <v>2.9</v>
      </c>
      <c r="V29">
        <v>1070</v>
      </c>
      <c r="W29">
        <v>8</v>
      </c>
      <c r="X29">
        <v>240</v>
      </c>
      <c r="Y29" t="s">
        <v>42</v>
      </c>
      <c r="Z29" t="s">
        <v>43</v>
      </c>
      <c r="AA29" t="s">
        <v>44</v>
      </c>
      <c r="AB29">
        <v>1</v>
      </c>
      <c r="AC29">
        <v>1</v>
      </c>
      <c r="AE29">
        <v>1</v>
      </c>
    </row>
    <row r="30" spans="1:31" x14ac:dyDescent="0.35">
      <c r="A30" t="s">
        <v>56</v>
      </c>
      <c r="B30" t="s">
        <v>56</v>
      </c>
      <c r="C30" t="s">
        <v>32</v>
      </c>
      <c r="D30" t="s">
        <v>33</v>
      </c>
      <c r="E30" t="s">
        <v>34</v>
      </c>
      <c r="F30" s="2">
        <v>8.6406570841889092</v>
      </c>
      <c r="G30">
        <v>5</v>
      </c>
      <c r="H30">
        <v>24</v>
      </c>
      <c r="I30">
        <v>95</v>
      </c>
      <c r="J30" t="s">
        <v>35</v>
      </c>
      <c r="K30" t="s">
        <v>36</v>
      </c>
      <c r="L30">
        <v>67064</v>
      </c>
      <c r="M30">
        <v>8.6</v>
      </c>
      <c r="N30" t="s">
        <v>32</v>
      </c>
      <c r="O30" s="1">
        <v>4.0657084188909502E-2</v>
      </c>
      <c r="P30" t="s">
        <v>38</v>
      </c>
      <c r="Q30" t="s">
        <v>39</v>
      </c>
      <c r="R30" t="s">
        <v>48</v>
      </c>
      <c r="S30" t="s">
        <v>41</v>
      </c>
      <c r="T30">
        <v>2500</v>
      </c>
      <c r="U30">
        <v>2.9</v>
      </c>
      <c r="V30">
        <v>1070</v>
      </c>
      <c r="W30">
        <v>8</v>
      </c>
      <c r="X30">
        <v>240</v>
      </c>
      <c r="Y30" t="s">
        <v>42</v>
      </c>
      <c r="Z30" t="s">
        <v>43</v>
      </c>
      <c r="AA30" t="s">
        <v>44</v>
      </c>
      <c r="AB30">
        <v>1</v>
      </c>
      <c r="AC30">
        <v>1</v>
      </c>
      <c r="AE30">
        <v>1</v>
      </c>
    </row>
    <row r="31" spans="1:31" x14ac:dyDescent="0.35">
      <c r="A31" t="s">
        <v>60</v>
      </c>
      <c r="B31" t="s">
        <v>60</v>
      </c>
      <c r="C31" t="s">
        <v>32</v>
      </c>
      <c r="D31" t="s">
        <v>33</v>
      </c>
      <c r="E31" t="s">
        <v>51</v>
      </c>
      <c r="F31" s="2">
        <v>9.7221081451060893</v>
      </c>
      <c r="G31">
        <v>20</v>
      </c>
      <c r="H31">
        <v>18</v>
      </c>
      <c r="I31">
        <v>112</v>
      </c>
      <c r="J31" t="s">
        <v>35</v>
      </c>
      <c r="K31" t="s">
        <v>36</v>
      </c>
      <c r="L31">
        <v>67064</v>
      </c>
      <c r="M31">
        <v>9.6999999999999993</v>
      </c>
      <c r="N31" t="s">
        <v>32</v>
      </c>
      <c r="O31">
        <v>2.2108145106090001E-2</v>
      </c>
      <c r="P31" t="s">
        <v>38</v>
      </c>
      <c r="Q31" t="s">
        <v>39</v>
      </c>
      <c r="R31" t="s">
        <v>48</v>
      </c>
      <c r="S31" t="s">
        <v>41</v>
      </c>
      <c r="T31">
        <v>2500</v>
      </c>
      <c r="U31">
        <v>2.9</v>
      </c>
      <c r="V31">
        <v>1070</v>
      </c>
      <c r="W31">
        <v>8</v>
      </c>
      <c r="X31">
        <v>240</v>
      </c>
      <c r="Y31" t="s">
        <v>42</v>
      </c>
      <c r="Z31" t="s">
        <v>43</v>
      </c>
      <c r="AA31" t="s">
        <v>44</v>
      </c>
      <c r="AB31">
        <v>1</v>
      </c>
      <c r="AC31">
        <v>1</v>
      </c>
      <c r="AE31">
        <v>1</v>
      </c>
    </row>
    <row r="32" spans="1:31" x14ac:dyDescent="0.35">
      <c r="A32" t="s">
        <v>65</v>
      </c>
      <c r="B32" t="s">
        <v>65</v>
      </c>
      <c r="C32" t="s">
        <v>32</v>
      </c>
      <c r="D32" t="s">
        <v>33</v>
      </c>
      <c r="E32" t="s">
        <v>34</v>
      </c>
      <c r="F32" s="2">
        <v>8.3915126625598901</v>
      </c>
      <c r="G32">
        <v>20</v>
      </c>
      <c r="H32">
        <v>22</v>
      </c>
      <c r="I32">
        <v>131</v>
      </c>
      <c r="J32" t="s">
        <v>35</v>
      </c>
      <c r="K32" t="s">
        <v>36</v>
      </c>
      <c r="L32">
        <v>67064</v>
      </c>
      <c r="M32">
        <v>8.4</v>
      </c>
      <c r="N32" t="s">
        <v>32</v>
      </c>
      <c r="O32">
        <v>8.4873374401102097E-3</v>
      </c>
      <c r="P32" t="s">
        <v>38</v>
      </c>
      <c r="Q32" t="s">
        <v>39</v>
      </c>
      <c r="R32" t="s">
        <v>48</v>
      </c>
      <c r="S32" t="s">
        <v>41</v>
      </c>
      <c r="T32">
        <v>2500</v>
      </c>
      <c r="U32">
        <v>2.9</v>
      </c>
      <c r="V32">
        <v>1070</v>
      </c>
      <c r="W32">
        <v>8</v>
      </c>
      <c r="X32">
        <v>240</v>
      </c>
      <c r="Y32" t="s">
        <v>42</v>
      </c>
      <c r="Z32" t="s">
        <v>43</v>
      </c>
      <c r="AA32" t="s">
        <v>44</v>
      </c>
      <c r="AB32">
        <v>1</v>
      </c>
      <c r="AC32">
        <v>1</v>
      </c>
      <c r="AE32">
        <v>1</v>
      </c>
    </row>
    <row r="33" spans="1:31" x14ac:dyDescent="0.35">
      <c r="A33" t="s">
        <v>67</v>
      </c>
      <c r="B33" t="s">
        <v>67</v>
      </c>
      <c r="C33" t="s">
        <v>32</v>
      </c>
      <c r="D33" t="s">
        <v>33</v>
      </c>
      <c r="E33" t="s">
        <v>34</v>
      </c>
      <c r="F33" s="2">
        <v>6.4147843942505096</v>
      </c>
      <c r="G33">
        <v>20</v>
      </c>
      <c r="H33">
        <v>21</v>
      </c>
      <c r="I33">
        <v>188</v>
      </c>
      <c r="J33" t="s">
        <v>35</v>
      </c>
      <c r="K33" t="s">
        <v>36</v>
      </c>
      <c r="L33">
        <v>67064</v>
      </c>
      <c r="M33">
        <v>6.4</v>
      </c>
      <c r="N33" t="s">
        <v>32</v>
      </c>
      <c r="O33" s="1">
        <v>1.47843942505092E-2</v>
      </c>
      <c r="P33" t="s">
        <v>38</v>
      </c>
      <c r="Q33" t="s">
        <v>39</v>
      </c>
      <c r="R33" t="s">
        <v>48</v>
      </c>
      <c r="S33" t="s">
        <v>41</v>
      </c>
      <c r="T33">
        <v>2500</v>
      </c>
      <c r="U33">
        <v>2.9</v>
      </c>
      <c r="V33">
        <v>1070</v>
      </c>
      <c r="W33">
        <v>8</v>
      </c>
      <c r="X33">
        <v>240</v>
      </c>
      <c r="Y33" t="s">
        <v>42</v>
      </c>
      <c r="Z33" t="s">
        <v>43</v>
      </c>
      <c r="AA33" t="s">
        <v>44</v>
      </c>
      <c r="AB33">
        <v>1</v>
      </c>
      <c r="AC33">
        <v>1</v>
      </c>
      <c r="AE33">
        <v>1</v>
      </c>
    </row>
    <row r="34" spans="1:31" x14ac:dyDescent="0.35">
      <c r="A34" t="s">
        <v>69</v>
      </c>
      <c r="B34" t="s">
        <v>69</v>
      </c>
      <c r="C34" t="s">
        <v>32</v>
      </c>
      <c r="D34" t="s">
        <v>33</v>
      </c>
      <c r="E34" t="s">
        <v>34</v>
      </c>
      <c r="F34" s="2">
        <v>7.7700205338809001</v>
      </c>
      <c r="G34">
        <v>5</v>
      </c>
      <c r="H34">
        <v>21</v>
      </c>
      <c r="I34">
        <v>186</v>
      </c>
      <c r="J34" t="s">
        <v>35</v>
      </c>
      <c r="K34" t="s">
        <v>36</v>
      </c>
      <c r="L34">
        <v>67064</v>
      </c>
      <c r="M34">
        <v>7.8</v>
      </c>
      <c r="N34" t="s">
        <v>32</v>
      </c>
      <c r="O34">
        <v>2.9979466119099699E-2</v>
      </c>
      <c r="P34" t="s">
        <v>38</v>
      </c>
      <c r="Q34" t="s">
        <v>39</v>
      </c>
      <c r="R34" t="s">
        <v>48</v>
      </c>
      <c r="S34" t="s">
        <v>41</v>
      </c>
      <c r="T34">
        <v>2500</v>
      </c>
      <c r="U34">
        <v>2.9</v>
      </c>
      <c r="V34">
        <v>1070</v>
      </c>
      <c r="W34">
        <v>8</v>
      </c>
      <c r="X34">
        <v>240</v>
      </c>
      <c r="Y34" t="s">
        <v>42</v>
      </c>
      <c r="Z34" t="s">
        <v>43</v>
      </c>
      <c r="AA34" t="s">
        <v>44</v>
      </c>
      <c r="AB34">
        <v>1</v>
      </c>
      <c r="AC34">
        <v>1</v>
      </c>
      <c r="AE34">
        <v>1</v>
      </c>
    </row>
    <row r="35" spans="1:31" x14ac:dyDescent="0.35">
      <c r="A35" t="s">
        <v>71</v>
      </c>
      <c r="B35" t="s">
        <v>71</v>
      </c>
      <c r="C35" t="s">
        <v>32</v>
      </c>
      <c r="D35" t="s">
        <v>33</v>
      </c>
      <c r="E35" t="s">
        <v>34</v>
      </c>
      <c r="F35" s="2">
        <v>10.644763860369601</v>
      </c>
      <c r="G35">
        <v>20</v>
      </c>
      <c r="H35">
        <v>15</v>
      </c>
      <c r="I35">
        <v>253</v>
      </c>
      <c r="J35" t="s">
        <v>35</v>
      </c>
      <c r="K35" t="s">
        <v>36</v>
      </c>
      <c r="L35">
        <v>67064</v>
      </c>
      <c r="M35">
        <v>10.6</v>
      </c>
      <c r="N35" t="s">
        <v>32</v>
      </c>
      <c r="O35" s="1">
        <v>4.4763860369600998E-2</v>
      </c>
      <c r="P35" t="s">
        <v>38</v>
      </c>
      <c r="Q35" t="s">
        <v>39</v>
      </c>
      <c r="R35" t="s">
        <v>48</v>
      </c>
      <c r="S35" t="s">
        <v>41</v>
      </c>
      <c r="T35">
        <v>2500</v>
      </c>
      <c r="U35">
        <v>2.9</v>
      </c>
      <c r="V35">
        <v>1070</v>
      </c>
      <c r="W35">
        <v>8</v>
      </c>
      <c r="X35">
        <v>240</v>
      </c>
      <c r="Y35" t="s">
        <v>42</v>
      </c>
      <c r="Z35" t="s">
        <v>43</v>
      </c>
      <c r="AA35" t="s">
        <v>44</v>
      </c>
      <c r="AB35">
        <v>1</v>
      </c>
      <c r="AC35">
        <v>1</v>
      </c>
      <c r="AE35">
        <v>1</v>
      </c>
    </row>
    <row r="36" spans="1:31" x14ac:dyDescent="0.35">
      <c r="A36" t="s">
        <v>78</v>
      </c>
      <c r="B36" t="s">
        <v>78</v>
      </c>
      <c r="C36" t="s">
        <v>32</v>
      </c>
      <c r="D36" t="s">
        <v>33</v>
      </c>
      <c r="E36" t="s">
        <v>34</v>
      </c>
      <c r="F36" s="2">
        <v>6.0451745379876796</v>
      </c>
      <c r="G36">
        <v>5</v>
      </c>
      <c r="H36">
        <v>17</v>
      </c>
      <c r="I36">
        <v>322</v>
      </c>
      <c r="J36" t="s">
        <v>35</v>
      </c>
      <c r="K36" t="s">
        <v>36</v>
      </c>
      <c r="L36">
        <v>67064</v>
      </c>
      <c r="M36">
        <v>6</v>
      </c>
      <c r="N36" t="s">
        <v>32</v>
      </c>
      <c r="O36" s="1">
        <v>4.5174537987679501E-2</v>
      </c>
      <c r="P36" t="s">
        <v>38</v>
      </c>
      <c r="Q36" t="s">
        <v>39</v>
      </c>
      <c r="R36" t="s">
        <v>48</v>
      </c>
      <c r="S36" t="s">
        <v>41</v>
      </c>
      <c r="T36">
        <v>2500</v>
      </c>
      <c r="U36">
        <v>2.9</v>
      </c>
      <c r="V36">
        <v>1070</v>
      </c>
      <c r="W36">
        <v>8</v>
      </c>
      <c r="X36">
        <v>240</v>
      </c>
      <c r="Y36" t="s">
        <v>42</v>
      </c>
      <c r="Z36" t="s">
        <v>43</v>
      </c>
      <c r="AA36" t="s">
        <v>44</v>
      </c>
      <c r="AB36">
        <v>1</v>
      </c>
      <c r="AC36">
        <v>1</v>
      </c>
      <c r="AE36">
        <v>1</v>
      </c>
    </row>
    <row r="37" spans="1:31" x14ac:dyDescent="0.35">
      <c r="A37" t="s">
        <v>83</v>
      </c>
      <c r="B37" t="s">
        <v>83</v>
      </c>
      <c r="C37" t="s">
        <v>32</v>
      </c>
      <c r="D37" t="s">
        <v>33</v>
      </c>
      <c r="E37" t="s">
        <v>34</v>
      </c>
      <c r="F37" s="2">
        <v>6.2915811088295701</v>
      </c>
      <c r="G37">
        <v>20</v>
      </c>
      <c r="H37">
        <v>25</v>
      </c>
      <c r="I37">
        <v>151</v>
      </c>
      <c r="J37" t="s">
        <v>35</v>
      </c>
      <c r="K37" t="s">
        <v>36</v>
      </c>
      <c r="L37">
        <v>67064</v>
      </c>
      <c r="M37">
        <v>6.3</v>
      </c>
      <c r="N37" t="s">
        <v>32</v>
      </c>
      <c r="O37">
        <v>8.4188911704297098E-3</v>
      </c>
      <c r="P37" t="s">
        <v>38</v>
      </c>
      <c r="Q37" t="s">
        <v>39</v>
      </c>
      <c r="R37" t="s">
        <v>48</v>
      </c>
      <c r="S37" t="s">
        <v>41</v>
      </c>
      <c r="T37">
        <v>2500</v>
      </c>
      <c r="U37">
        <v>2.9</v>
      </c>
      <c r="V37">
        <v>1070</v>
      </c>
      <c r="W37">
        <v>8</v>
      </c>
      <c r="X37">
        <v>240</v>
      </c>
      <c r="Y37" t="s">
        <v>42</v>
      </c>
      <c r="Z37" t="s">
        <v>43</v>
      </c>
      <c r="AA37" t="s">
        <v>44</v>
      </c>
      <c r="AB37">
        <v>1</v>
      </c>
      <c r="AC37">
        <v>1</v>
      </c>
      <c r="AE37">
        <v>1</v>
      </c>
    </row>
    <row r="38" spans="1:31" x14ac:dyDescent="0.35">
      <c r="A38" t="s">
        <v>84</v>
      </c>
      <c r="B38" t="s">
        <v>84</v>
      </c>
      <c r="C38" t="s">
        <v>32</v>
      </c>
      <c r="D38" t="s">
        <v>33</v>
      </c>
      <c r="E38" t="s">
        <v>34</v>
      </c>
      <c r="F38" s="2">
        <v>6.6447638603696104</v>
      </c>
      <c r="G38">
        <v>10</v>
      </c>
      <c r="H38">
        <v>21</v>
      </c>
      <c r="I38">
        <v>144</v>
      </c>
      <c r="J38" t="s">
        <v>35</v>
      </c>
      <c r="K38" t="s">
        <v>36</v>
      </c>
      <c r="L38">
        <v>67064</v>
      </c>
      <c r="M38">
        <v>6.6</v>
      </c>
      <c r="N38" t="s">
        <v>32</v>
      </c>
      <c r="O38" s="1">
        <v>4.4763860369610699E-2</v>
      </c>
      <c r="P38" t="s">
        <v>38</v>
      </c>
      <c r="Q38" t="s">
        <v>39</v>
      </c>
      <c r="R38" t="s">
        <v>48</v>
      </c>
      <c r="S38" t="s">
        <v>41</v>
      </c>
      <c r="T38">
        <v>2500</v>
      </c>
      <c r="U38">
        <v>2.9</v>
      </c>
      <c r="V38">
        <v>1070</v>
      </c>
      <c r="W38">
        <v>8</v>
      </c>
      <c r="X38">
        <v>240</v>
      </c>
      <c r="Y38" t="s">
        <v>42</v>
      </c>
      <c r="Z38" t="s">
        <v>43</v>
      </c>
      <c r="AA38" t="s">
        <v>44</v>
      </c>
      <c r="AB38">
        <v>1</v>
      </c>
      <c r="AC38">
        <v>1</v>
      </c>
      <c r="AE38">
        <v>1</v>
      </c>
    </row>
    <row r="39" spans="1:31" x14ac:dyDescent="0.35">
      <c r="A39" t="s">
        <v>85</v>
      </c>
      <c r="B39" t="s">
        <v>85</v>
      </c>
      <c r="C39" t="s">
        <v>32</v>
      </c>
      <c r="D39" t="s">
        <v>33</v>
      </c>
      <c r="E39" t="s">
        <v>34</v>
      </c>
      <c r="F39" s="2">
        <v>7.8959616700889796</v>
      </c>
      <c r="G39">
        <v>0</v>
      </c>
      <c r="H39">
        <v>7</v>
      </c>
      <c r="I39">
        <v>101</v>
      </c>
      <c r="J39" t="s">
        <v>35</v>
      </c>
      <c r="K39" t="s">
        <v>36</v>
      </c>
      <c r="L39">
        <v>67064</v>
      </c>
      <c r="M39">
        <v>7.9</v>
      </c>
      <c r="N39" t="s">
        <v>32</v>
      </c>
      <c r="O39">
        <v>4.0383299110207096E-3</v>
      </c>
      <c r="P39" t="s">
        <v>38</v>
      </c>
      <c r="Q39" t="s">
        <v>39</v>
      </c>
      <c r="R39" t="s">
        <v>48</v>
      </c>
      <c r="S39" t="s">
        <v>41</v>
      </c>
      <c r="T39">
        <v>2500</v>
      </c>
      <c r="U39">
        <v>2.9</v>
      </c>
      <c r="V39">
        <v>1070</v>
      </c>
      <c r="W39">
        <v>8</v>
      </c>
      <c r="X39">
        <v>240</v>
      </c>
      <c r="Y39" t="s">
        <v>42</v>
      </c>
      <c r="Z39" t="s">
        <v>43</v>
      </c>
      <c r="AA39" t="s">
        <v>44</v>
      </c>
      <c r="AB39">
        <v>1</v>
      </c>
      <c r="AC39">
        <v>1</v>
      </c>
      <c r="AE39">
        <v>1</v>
      </c>
    </row>
    <row r="40" spans="1:31" x14ac:dyDescent="0.35">
      <c r="A40" t="s">
        <v>86</v>
      </c>
      <c r="B40" t="s">
        <v>86</v>
      </c>
      <c r="C40" t="s">
        <v>32</v>
      </c>
      <c r="D40" t="s">
        <v>33</v>
      </c>
      <c r="E40" t="s">
        <v>34</v>
      </c>
      <c r="F40" s="2">
        <v>8.7556468172484596</v>
      </c>
      <c r="G40">
        <v>0</v>
      </c>
      <c r="H40">
        <v>13</v>
      </c>
      <c r="I40">
        <v>82</v>
      </c>
      <c r="J40" t="s">
        <v>35</v>
      </c>
      <c r="K40" t="s">
        <v>36</v>
      </c>
      <c r="L40">
        <v>67064</v>
      </c>
      <c r="M40">
        <v>8.8000000000000007</v>
      </c>
      <c r="N40" t="s">
        <v>32</v>
      </c>
      <c r="O40">
        <v>4.4353182751541098E-2</v>
      </c>
      <c r="P40" t="s">
        <v>38</v>
      </c>
      <c r="Q40" t="s">
        <v>39</v>
      </c>
      <c r="R40" t="s">
        <v>48</v>
      </c>
      <c r="S40" t="s">
        <v>41</v>
      </c>
      <c r="T40">
        <v>2500</v>
      </c>
      <c r="U40">
        <v>2.9</v>
      </c>
      <c r="V40">
        <v>1070</v>
      </c>
      <c r="W40">
        <v>8</v>
      </c>
      <c r="X40">
        <v>240</v>
      </c>
      <c r="Y40" t="s">
        <v>42</v>
      </c>
      <c r="Z40" t="s">
        <v>43</v>
      </c>
      <c r="AA40" t="s">
        <v>44</v>
      </c>
      <c r="AB40">
        <v>1</v>
      </c>
      <c r="AC40">
        <v>1</v>
      </c>
      <c r="AE40">
        <v>1</v>
      </c>
    </row>
    <row r="41" spans="1:31" x14ac:dyDescent="0.35">
      <c r="A41" t="s">
        <v>88</v>
      </c>
      <c r="B41" t="s">
        <v>88</v>
      </c>
      <c r="C41" t="s">
        <v>32</v>
      </c>
      <c r="D41" t="s">
        <v>33</v>
      </c>
      <c r="E41" t="s">
        <v>34</v>
      </c>
      <c r="F41" s="2">
        <v>8.0821355236139603</v>
      </c>
      <c r="G41">
        <v>0</v>
      </c>
      <c r="H41">
        <v>10</v>
      </c>
      <c r="I41">
        <v>76</v>
      </c>
      <c r="J41" t="s">
        <v>35</v>
      </c>
      <c r="K41" t="s">
        <v>36</v>
      </c>
      <c r="L41">
        <v>67064</v>
      </c>
      <c r="M41">
        <v>8.1</v>
      </c>
      <c r="N41" t="s">
        <v>32</v>
      </c>
      <c r="O41" s="1">
        <v>1.7864476386039298E-2</v>
      </c>
      <c r="P41" t="s">
        <v>38</v>
      </c>
      <c r="Q41" t="s">
        <v>39</v>
      </c>
      <c r="R41" t="s">
        <v>48</v>
      </c>
      <c r="S41" t="s">
        <v>41</v>
      </c>
      <c r="T41">
        <v>2500</v>
      </c>
      <c r="U41">
        <v>2.9</v>
      </c>
      <c r="V41">
        <v>1070</v>
      </c>
      <c r="W41">
        <v>8</v>
      </c>
      <c r="X41">
        <v>240</v>
      </c>
      <c r="Y41" t="s">
        <v>42</v>
      </c>
      <c r="Z41" t="s">
        <v>43</v>
      </c>
      <c r="AA41" t="s">
        <v>44</v>
      </c>
      <c r="AB41">
        <v>1</v>
      </c>
      <c r="AC41">
        <v>1</v>
      </c>
      <c r="AE41">
        <v>1</v>
      </c>
    </row>
    <row r="42" spans="1:31" x14ac:dyDescent="0.35">
      <c r="A42" t="s">
        <v>89</v>
      </c>
      <c r="B42" t="s">
        <v>89</v>
      </c>
      <c r="C42" t="s">
        <v>32</v>
      </c>
      <c r="D42" t="s">
        <v>33</v>
      </c>
      <c r="E42" t="s">
        <v>34</v>
      </c>
      <c r="F42" s="2">
        <v>6.1355236139630396</v>
      </c>
      <c r="G42">
        <v>0</v>
      </c>
      <c r="H42">
        <v>19</v>
      </c>
      <c r="I42">
        <v>157</v>
      </c>
      <c r="J42" t="s">
        <v>35</v>
      </c>
      <c r="K42" t="s">
        <v>36</v>
      </c>
      <c r="L42">
        <v>67064</v>
      </c>
      <c r="M42">
        <v>6.1</v>
      </c>
      <c r="N42" t="s">
        <v>32</v>
      </c>
      <c r="O42" s="1">
        <v>3.55236139630399E-2</v>
      </c>
      <c r="P42" t="s">
        <v>38</v>
      </c>
      <c r="Q42" t="s">
        <v>39</v>
      </c>
      <c r="R42" t="s">
        <v>48</v>
      </c>
      <c r="S42" t="s">
        <v>41</v>
      </c>
      <c r="T42">
        <v>2500</v>
      </c>
      <c r="U42">
        <v>2.9</v>
      </c>
      <c r="V42">
        <v>1070</v>
      </c>
      <c r="W42">
        <v>8</v>
      </c>
      <c r="X42">
        <v>240</v>
      </c>
      <c r="Y42" t="s">
        <v>42</v>
      </c>
      <c r="Z42" t="s">
        <v>43</v>
      </c>
      <c r="AA42" t="s">
        <v>44</v>
      </c>
      <c r="AB42">
        <v>1</v>
      </c>
      <c r="AC42">
        <v>1</v>
      </c>
      <c r="AE42">
        <v>1</v>
      </c>
    </row>
    <row r="43" spans="1:31" x14ac:dyDescent="0.35">
      <c r="A43" t="s">
        <v>93</v>
      </c>
      <c r="B43" t="s">
        <v>93</v>
      </c>
      <c r="C43" t="s">
        <v>32</v>
      </c>
      <c r="D43" t="s">
        <v>33</v>
      </c>
      <c r="E43" t="s">
        <v>34</v>
      </c>
      <c r="F43" s="2">
        <v>9.1937029431895994</v>
      </c>
      <c r="G43">
        <v>10</v>
      </c>
      <c r="H43">
        <v>17</v>
      </c>
      <c r="I43">
        <v>245</v>
      </c>
      <c r="J43" t="s">
        <v>35</v>
      </c>
      <c r="K43" t="s">
        <v>36</v>
      </c>
      <c r="L43">
        <v>67064</v>
      </c>
      <c r="M43">
        <v>9.1999999999999993</v>
      </c>
      <c r="N43" t="s">
        <v>32</v>
      </c>
      <c r="O43">
        <v>6.29705681039993E-3</v>
      </c>
      <c r="P43" t="s">
        <v>38</v>
      </c>
      <c r="Q43" t="s">
        <v>39</v>
      </c>
      <c r="R43" t="s">
        <v>48</v>
      </c>
      <c r="S43" t="s">
        <v>41</v>
      </c>
      <c r="T43">
        <v>2500</v>
      </c>
      <c r="U43">
        <v>2.9</v>
      </c>
      <c r="V43">
        <v>1070</v>
      </c>
      <c r="W43">
        <v>8</v>
      </c>
      <c r="X43">
        <v>240</v>
      </c>
      <c r="Y43" t="s">
        <v>42</v>
      </c>
      <c r="Z43" t="s">
        <v>43</v>
      </c>
      <c r="AA43" t="s">
        <v>44</v>
      </c>
      <c r="AB43">
        <v>1</v>
      </c>
      <c r="AC43">
        <v>1</v>
      </c>
      <c r="AE43">
        <v>1</v>
      </c>
    </row>
    <row r="44" spans="1:31" x14ac:dyDescent="0.35">
      <c r="A44" t="s">
        <v>94</v>
      </c>
      <c r="B44" t="s">
        <v>94</v>
      </c>
      <c r="C44" t="s">
        <v>32</v>
      </c>
      <c r="D44" t="s">
        <v>33</v>
      </c>
      <c r="E44" t="s">
        <v>34</v>
      </c>
      <c r="F44" s="2">
        <v>6.2149212867898704</v>
      </c>
      <c r="G44">
        <v>0</v>
      </c>
      <c r="H44">
        <v>9</v>
      </c>
      <c r="I44">
        <v>218</v>
      </c>
      <c r="J44" t="s">
        <v>35</v>
      </c>
      <c r="K44" t="s">
        <v>36</v>
      </c>
      <c r="L44">
        <v>67064</v>
      </c>
      <c r="M44">
        <v>6.2</v>
      </c>
      <c r="N44" t="s">
        <v>32</v>
      </c>
      <c r="O44" s="1">
        <v>1.4921286789870199E-2</v>
      </c>
      <c r="P44" t="s">
        <v>38</v>
      </c>
      <c r="Q44" t="s">
        <v>39</v>
      </c>
      <c r="R44" t="s">
        <v>48</v>
      </c>
      <c r="S44" t="s">
        <v>41</v>
      </c>
      <c r="T44">
        <v>2500</v>
      </c>
      <c r="U44">
        <v>2.9</v>
      </c>
      <c r="V44">
        <v>1070</v>
      </c>
      <c r="W44">
        <v>8</v>
      </c>
      <c r="X44">
        <v>240</v>
      </c>
      <c r="Y44" t="s">
        <v>42</v>
      </c>
      <c r="Z44" t="s">
        <v>43</v>
      </c>
      <c r="AA44" t="s">
        <v>44</v>
      </c>
      <c r="AB44">
        <v>1</v>
      </c>
      <c r="AC44">
        <v>1</v>
      </c>
      <c r="AE44">
        <v>1</v>
      </c>
    </row>
    <row r="45" spans="1:31" x14ac:dyDescent="0.35">
      <c r="A45" t="s">
        <v>98</v>
      </c>
      <c r="B45" t="s">
        <v>98</v>
      </c>
      <c r="C45" t="s">
        <v>32</v>
      </c>
      <c r="D45" t="s">
        <v>33</v>
      </c>
      <c r="E45" t="s">
        <v>34</v>
      </c>
      <c r="F45" s="2">
        <v>6.3928815879534602</v>
      </c>
      <c r="G45">
        <v>0</v>
      </c>
      <c r="H45">
        <v>16</v>
      </c>
      <c r="I45">
        <v>33</v>
      </c>
      <c r="J45" t="s">
        <v>35</v>
      </c>
      <c r="K45" t="s">
        <v>36</v>
      </c>
      <c r="L45">
        <v>67064</v>
      </c>
      <c r="M45">
        <v>6.4</v>
      </c>
      <c r="N45" t="s">
        <v>32</v>
      </c>
      <c r="O45">
        <v>7.1184120465401703E-3</v>
      </c>
      <c r="P45" t="s">
        <v>38</v>
      </c>
      <c r="Q45" t="s">
        <v>39</v>
      </c>
      <c r="R45" t="s">
        <v>48</v>
      </c>
      <c r="S45" t="s">
        <v>41</v>
      </c>
      <c r="T45">
        <v>2500</v>
      </c>
      <c r="U45">
        <v>2.9</v>
      </c>
      <c r="V45">
        <v>1070</v>
      </c>
      <c r="W45">
        <v>8</v>
      </c>
      <c r="X45">
        <v>240</v>
      </c>
      <c r="Y45" t="s">
        <v>42</v>
      </c>
      <c r="Z45" t="s">
        <v>43</v>
      </c>
      <c r="AA45" t="s">
        <v>44</v>
      </c>
      <c r="AB45">
        <v>1</v>
      </c>
      <c r="AC45">
        <v>1</v>
      </c>
      <c r="AE45">
        <v>1</v>
      </c>
    </row>
    <row r="46" spans="1:31" x14ac:dyDescent="0.35">
      <c r="A46" t="s">
        <v>99</v>
      </c>
      <c r="B46" t="s">
        <v>99</v>
      </c>
      <c r="C46" t="s">
        <v>32</v>
      </c>
      <c r="D46" t="s">
        <v>33</v>
      </c>
      <c r="E46" t="s">
        <v>51</v>
      </c>
      <c r="F46" s="2">
        <v>8.2080766598220407</v>
      </c>
      <c r="G46">
        <v>10</v>
      </c>
      <c r="H46">
        <v>17</v>
      </c>
      <c r="I46">
        <v>309</v>
      </c>
      <c r="J46" t="s">
        <v>35</v>
      </c>
      <c r="K46" t="s">
        <v>36</v>
      </c>
      <c r="L46">
        <v>67064</v>
      </c>
      <c r="M46">
        <v>8.1999999999999993</v>
      </c>
      <c r="N46" t="s">
        <v>32</v>
      </c>
      <c r="O46">
        <v>8.0766598220414192E-3</v>
      </c>
      <c r="P46" t="s">
        <v>38</v>
      </c>
      <c r="Q46" t="s">
        <v>39</v>
      </c>
      <c r="R46" t="s">
        <v>48</v>
      </c>
      <c r="S46" t="s">
        <v>41</v>
      </c>
      <c r="T46">
        <v>2500</v>
      </c>
      <c r="U46">
        <v>2.9</v>
      </c>
      <c r="V46">
        <v>1070</v>
      </c>
      <c r="W46">
        <v>8</v>
      </c>
      <c r="X46">
        <v>240</v>
      </c>
      <c r="Y46" t="s">
        <v>42</v>
      </c>
      <c r="Z46" t="s">
        <v>43</v>
      </c>
      <c r="AA46" t="s">
        <v>44</v>
      </c>
      <c r="AB46">
        <v>1</v>
      </c>
      <c r="AC46">
        <v>1</v>
      </c>
      <c r="AE46">
        <v>1</v>
      </c>
    </row>
    <row r="47" spans="1:31" x14ac:dyDescent="0.35">
      <c r="A47" t="s">
        <v>103</v>
      </c>
      <c r="B47" t="s">
        <v>103</v>
      </c>
      <c r="C47" t="s">
        <v>32</v>
      </c>
      <c r="D47" t="s">
        <v>33</v>
      </c>
      <c r="E47" t="s">
        <v>34</v>
      </c>
      <c r="F47" s="2">
        <v>6.8583162217659099</v>
      </c>
      <c r="G47">
        <v>0</v>
      </c>
      <c r="H47">
        <v>12</v>
      </c>
      <c r="I47">
        <v>360</v>
      </c>
      <c r="J47" t="s">
        <v>35</v>
      </c>
      <c r="K47" t="s">
        <v>36</v>
      </c>
      <c r="L47">
        <v>67064</v>
      </c>
      <c r="M47">
        <v>6.9</v>
      </c>
      <c r="N47" t="s">
        <v>32</v>
      </c>
      <c r="O47">
        <v>4.1683778234090398E-2</v>
      </c>
      <c r="P47" t="s">
        <v>38</v>
      </c>
      <c r="Q47" t="s">
        <v>39</v>
      </c>
      <c r="R47" t="s">
        <v>48</v>
      </c>
      <c r="S47" t="s">
        <v>41</v>
      </c>
      <c r="T47">
        <v>2500</v>
      </c>
      <c r="U47">
        <v>2.9</v>
      </c>
      <c r="V47">
        <v>1070</v>
      </c>
      <c r="W47">
        <v>8</v>
      </c>
      <c r="X47">
        <v>240</v>
      </c>
      <c r="Y47" t="s">
        <v>42</v>
      </c>
      <c r="Z47" t="s">
        <v>43</v>
      </c>
      <c r="AA47" t="s">
        <v>44</v>
      </c>
      <c r="AB47">
        <v>1</v>
      </c>
      <c r="AC47">
        <v>1</v>
      </c>
      <c r="AE47">
        <v>1</v>
      </c>
    </row>
    <row r="48" spans="1:31" x14ac:dyDescent="0.35">
      <c r="A48" t="s">
        <v>104</v>
      </c>
      <c r="B48" t="s">
        <v>104</v>
      </c>
      <c r="C48" t="s">
        <v>32</v>
      </c>
      <c r="D48" t="s">
        <v>33</v>
      </c>
      <c r="E48" t="s">
        <v>34</v>
      </c>
      <c r="F48" s="2">
        <v>10.9541409993155</v>
      </c>
      <c r="G48">
        <v>10</v>
      </c>
      <c r="H48">
        <v>7</v>
      </c>
      <c r="I48">
        <v>33</v>
      </c>
      <c r="J48" t="s">
        <v>35</v>
      </c>
      <c r="K48" t="s">
        <v>36</v>
      </c>
      <c r="L48">
        <v>67064</v>
      </c>
      <c r="M48">
        <v>11</v>
      </c>
      <c r="N48" t="s">
        <v>32</v>
      </c>
      <c r="O48">
        <v>4.58590006844996E-2</v>
      </c>
      <c r="P48" t="s">
        <v>38</v>
      </c>
      <c r="Q48" t="s">
        <v>39</v>
      </c>
      <c r="R48" t="s">
        <v>48</v>
      </c>
      <c r="S48" t="s">
        <v>41</v>
      </c>
      <c r="T48">
        <v>2500</v>
      </c>
      <c r="U48">
        <v>2.9</v>
      </c>
      <c r="V48">
        <v>1070</v>
      </c>
      <c r="W48">
        <v>8</v>
      </c>
      <c r="X48">
        <v>240</v>
      </c>
      <c r="Y48" t="s">
        <v>42</v>
      </c>
      <c r="Z48" t="s">
        <v>43</v>
      </c>
      <c r="AA48" t="s">
        <v>44</v>
      </c>
      <c r="AB48">
        <v>1</v>
      </c>
      <c r="AC48">
        <v>1</v>
      </c>
      <c r="AE48">
        <v>1</v>
      </c>
    </row>
    <row r="49" spans="1:31" x14ac:dyDescent="0.35">
      <c r="A49" t="s">
        <v>105</v>
      </c>
      <c r="B49" t="s">
        <v>105</v>
      </c>
      <c r="C49" t="s">
        <v>32</v>
      </c>
      <c r="D49" t="s">
        <v>33</v>
      </c>
      <c r="E49" t="s">
        <v>34</v>
      </c>
      <c r="F49" s="2">
        <v>8.0739219712525703</v>
      </c>
      <c r="G49">
        <v>0</v>
      </c>
      <c r="H49">
        <v>12</v>
      </c>
      <c r="I49">
        <v>144</v>
      </c>
      <c r="J49" t="s">
        <v>35</v>
      </c>
      <c r="K49" t="s">
        <v>36</v>
      </c>
      <c r="L49">
        <v>67064</v>
      </c>
      <c r="M49">
        <v>8.1</v>
      </c>
      <c r="N49" t="s">
        <v>32</v>
      </c>
      <c r="O49">
        <v>2.6078028747429299E-2</v>
      </c>
      <c r="P49" t="s">
        <v>38</v>
      </c>
      <c r="Q49" t="s">
        <v>39</v>
      </c>
      <c r="R49" t="s">
        <v>48</v>
      </c>
      <c r="S49" t="s">
        <v>41</v>
      </c>
      <c r="T49">
        <v>2500</v>
      </c>
      <c r="U49">
        <v>2.9</v>
      </c>
      <c r="V49">
        <v>1070</v>
      </c>
      <c r="W49">
        <v>8</v>
      </c>
      <c r="X49">
        <v>240</v>
      </c>
      <c r="Y49" t="s">
        <v>42</v>
      </c>
      <c r="Z49" t="s">
        <v>43</v>
      </c>
      <c r="AA49" t="s">
        <v>44</v>
      </c>
      <c r="AB49">
        <v>1</v>
      </c>
      <c r="AC49">
        <v>1</v>
      </c>
      <c r="AE49">
        <v>1</v>
      </c>
    </row>
    <row r="50" spans="1:31" x14ac:dyDescent="0.35">
      <c r="A50" t="s">
        <v>111</v>
      </c>
      <c r="B50" t="s">
        <v>111</v>
      </c>
      <c r="C50" t="s">
        <v>32</v>
      </c>
      <c r="D50" t="s">
        <v>33</v>
      </c>
      <c r="E50" t="s">
        <v>51</v>
      </c>
      <c r="F50" s="2">
        <v>8.7720739219712502</v>
      </c>
      <c r="G50">
        <v>0</v>
      </c>
      <c r="H50">
        <v>17</v>
      </c>
      <c r="I50">
        <v>75</v>
      </c>
      <c r="J50" t="s">
        <v>35</v>
      </c>
      <c r="K50" t="s">
        <v>36</v>
      </c>
      <c r="L50">
        <v>67064</v>
      </c>
      <c r="M50">
        <v>8.8000000000000007</v>
      </c>
      <c r="N50" t="s">
        <v>32</v>
      </c>
      <c r="O50" s="1">
        <v>2.7926078028750401E-2</v>
      </c>
      <c r="P50" t="s">
        <v>38</v>
      </c>
      <c r="Q50" t="s">
        <v>39</v>
      </c>
      <c r="R50" t="s">
        <v>48</v>
      </c>
      <c r="S50" t="s">
        <v>41</v>
      </c>
      <c r="T50">
        <v>2500</v>
      </c>
      <c r="U50">
        <v>2.9</v>
      </c>
      <c r="V50">
        <v>1070</v>
      </c>
      <c r="W50">
        <v>8</v>
      </c>
      <c r="X50">
        <v>240</v>
      </c>
      <c r="Y50" t="s">
        <v>42</v>
      </c>
      <c r="Z50" t="s">
        <v>43</v>
      </c>
      <c r="AA50" t="s">
        <v>44</v>
      </c>
      <c r="AB50">
        <v>1</v>
      </c>
      <c r="AC50">
        <v>1</v>
      </c>
      <c r="AE50">
        <v>1</v>
      </c>
    </row>
    <row r="51" spans="1:31" x14ac:dyDescent="0.35">
      <c r="A51" t="s">
        <v>112</v>
      </c>
      <c r="B51" t="s">
        <v>112</v>
      </c>
      <c r="C51" t="s">
        <v>32</v>
      </c>
      <c r="D51" t="s">
        <v>33</v>
      </c>
      <c r="E51" t="s">
        <v>34</v>
      </c>
      <c r="F51" s="2">
        <v>7.6057494866529796</v>
      </c>
      <c r="G51">
        <v>0</v>
      </c>
      <c r="H51">
        <v>12</v>
      </c>
      <c r="I51">
        <v>107</v>
      </c>
      <c r="J51" t="s">
        <v>35</v>
      </c>
      <c r="K51" t="s">
        <v>36</v>
      </c>
      <c r="L51">
        <v>67064</v>
      </c>
      <c r="M51">
        <v>7.6</v>
      </c>
      <c r="N51" t="s">
        <v>32</v>
      </c>
      <c r="O51">
        <v>5.7494866529799104E-3</v>
      </c>
      <c r="P51" t="s">
        <v>38</v>
      </c>
      <c r="Q51" t="s">
        <v>39</v>
      </c>
      <c r="R51" t="s">
        <v>48</v>
      </c>
      <c r="S51" t="s">
        <v>41</v>
      </c>
      <c r="T51">
        <v>2500</v>
      </c>
      <c r="U51">
        <v>2.9</v>
      </c>
      <c r="V51">
        <v>1070</v>
      </c>
      <c r="W51">
        <v>8</v>
      </c>
      <c r="X51">
        <v>240</v>
      </c>
      <c r="Y51" t="s">
        <v>42</v>
      </c>
      <c r="Z51" t="s">
        <v>43</v>
      </c>
      <c r="AA51" t="s">
        <v>44</v>
      </c>
      <c r="AB51">
        <v>1</v>
      </c>
      <c r="AC51">
        <v>1</v>
      </c>
      <c r="AE51">
        <v>1</v>
      </c>
    </row>
    <row r="52" spans="1:31" x14ac:dyDescent="0.35">
      <c r="A52" t="s">
        <v>113</v>
      </c>
      <c r="B52" t="s">
        <v>113</v>
      </c>
      <c r="C52" t="s">
        <v>32</v>
      </c>
      <c r="D52" t="s">
        <v>33</v>
      </c>
      <c r="E52" t="s">
        <v>34</v>
      </c>
      <c r="F52" s="2">
        <v>5.7768651608487298</v>
      </c>
      <c r="G52">
        <v>0</v>
      </c>
      <c r="H52">
        <v>21</v>
      </c>
      <c r="I52">
        <v>142</v>
      </c>
      <c r="J52" t="s">
        <v>35</v>
      </c>
      <c r="K52" t="s">
        <v>36</v>
      </c>
      <c r="L52">
        <v>67064</v>
      </c>
      <c r="M52">
        <v>5.8</v>
      </c>
      <c r="N52" t="s">
        <v>58</v>
      </c>
      <c r="O52" s="1">
        <v>2.3134839151270001E-2</v>
      </c>
      <c r="P52" t="s">
        <v>38</v>
      </c>
      <c r="Q52" t="s">
        <v>39</v>
      </c>
      <c r="R52" t="s">
        <v>48</v>
      </c>
      <c r="S52" t="s">
        <v>41</v>
      </c>
      <c r="T52">
        <v>2500</v>
      </c>
      <c r="U52">
        <v>2.9</v>
      </c>
      <c r="V52">
        <v>1070</v>
      </c>
      <c r="W52">
        <v>8</v>
      </c>
      <c r="X52">
        <v>240</v>
      </c>
      <c r="Y52" t="s">
        <v>42</v>
      </c>
      <c r="Z52" t="s">
        <v>43</v>
      </c>
      <c r="AA52" t="s">
        <v>44</v>
      </c>
      <c r="AB52">
        <v>1</v>
      </c>
      <c r="AC52">
        <v>1</v>
      </c>
      <c r="AE52">
        <v>1</v>
      </c>
    </row>
    <row r="53" spans="1:31" x14ac:dyDescent="0.35">
      <c r="A53" t="s">
        <v>115</v>
      </c>
      <c r="B53" t="s">
        <v>115</v>
      </c>
      <c r="C53" t="s">
        <v>32</v>
      </c>
      <c r="D53" t="s">
        <v>33</v>
      </c>
      <c r="E53" t="s">
        <v>34</v>
      </c>
      <c r="F53" s="2">
        <v>9.9958932238192997</v>
      </c>
      <c r="G53">
        <v>20</v>
      </c>
      <c r="H53">
        <v>25</v>
      </c>
      <c r="I53">
        <v>129</v>
      </c>
      <c r="J53" t="s">
        <v>35</v>
      </c>
      <c r="K53" t="s">
        <v>36</v>
      </c>
      <c r="L53">
        <v>67064</v>
      </c>
      <c r="M53">
        <v>10</v>
      </c>
      <c r="N53" t="s">
        <v>32</v>
      </c>
      <c r="O53">
        <v>4.1067761807003196E-3</v>
      </c>
      <c r="P53" t="s">
        <v>38</v>
      </c>
      <c r="Q53" t="s">
        <v>39</v>
      </c>
      <c r="R53" t="s">
        <v>40</v>
      </c>
      <c r="S53" t="s">
        <v>41</v>
      </c>
      <c r="T53">
        <v>2500</v>
      </c>
      <c r="U53">
        <v>2.9</v>
      </c>
      <c r="V53">
        <v>1070</v>
      </c>
      <c r="W53">
        <v>8</v>
      </c>
      <c r="X53">
        <v>240</v>
      </c>
      <c r="Y53" t="s">
        <v>42</v>
      </c>
      <c r="Z53" t="s">
        <v>43</v>
      </c>
      <c r="AA53" t="s">
        <v>44</v>
      </c>
      <c r="AB53">
        <v>1</v>
      </c>
      <c r="AC53">
        <v>1</v>
      </c>
      <c r="AE53">
        <v>1</v>
      </c>
    </row>
    <row r="54" spans="1:31" x14ac:dyDescent="0.35">
      <c r="A54" t="s">
        <v>118</v>
      </c>
      <c r="B54" t="s">
        <v>118</v>
      </c>
      <c r="C54" t="s">
        <v>32</v>
      </c>
      <c r="D54" t="s">
        <v>33</v>
      </c>
      <c r="E54" t="s">
        <v>34</v>
      </c>
      <c r="F54" s="2">
        <v>9.1060917180013696</v>
      </c>
      <c r="G54">
        <v>0</v>
      </c>
      <c r="H54">
        <v>14</v>
      </c>
      <c r="I54">
        <v>271</v>
      </c>
      <c r="J54" t="s">
        <v>35</v>
      </c>
      <c r="K54" t="s">
        <v>36</v>
      </c>
      <c r="L54">
        <v>67064</v>
      </c>
      <c r="M54">
        <v>9.1</v>
      </c>
      <c r="N54" t="s">
        <v>32</v>
      </c>
      <c r="O54">
        <v>6.09171800136998E-3</v>
      </c>
      <c r="P54" t="s">
        <v>38</v>
      </c>
      <c r="Q54" t="s">
        <v>39</v>
      </c>
      <c r="R54" t="s">
        <v>40</v>
      </c>
      <c r="S54" t="s">
        <v>41</v>
      </c>
      <c r="T54">
        <v>2500</v>
      </c>
      <c r="U54">
        <v>2.9</v>
      </c>
      <c r="V54">
        <v>1070</v>
      </c>
      <c r="W54">
        <v>8</v>
      </c>
      <c r="X54">
        <v>240</v>
      </c>
      <c r="Y54" t="s">
        <v>42</v>
      </c>
      <c r="Z54" t="s">
        <v>43</v>
      </c>
      <c r="AA54" t="s">
        <v>44</v>
      </c>
      <c r="AB54">
        <v>1</v>
      </c>
      <c r="AC54">
        <v>1</v>
      </c>
      <c r="AE54">
        <v>1</v>
      </c>
    </row>
    <row r="55" spans="1:31" x14ac:dyDescent="0.35">
      <c r="A55" t="s">
        <v>119</v>
      </c>
      <c r="B55" t="s">
        <v>119</v>
      </c>
      <c r="C55" t="s">
        <v>32</v>
      </c>
      <c r="D55" t="s">
        <v>33</v>
      </c>
      <c r="E55" t="s">
        <v>34</v>
      </c>
      <c r="F55" s="2">
        <v>8.2655715263518097</v>
      </c>
      <c r="G55">
        <v>10</v>
      </c>
      <c r="H55">
        <v>17</v>
      </c>
      <c r="I55">
        <v>121</v>
      </c>
      <c r="J55" t="s">
        <v>35</v>
      </c>
      <c r="K55" t="s">
        <v>36</v>
      </c>
      <c r="L55">
        <v>67064</v>
      </c>
      <c r="M55">
        <v>8.3000000000000007</v>
      </c>
      <c r="N55" t="s">
        <v>32</v>
      </c>
      <c r="O55" s="1">
        <v>3.4428473648191002E-2</v>
      </c>
      <c r="P55" t="s">
        <v>38</v>
      </c>
      <c r="Q55" t="s">
        <v>39</v>
      </c>
      <c r="R55" t="s">
        <v>40</v>
      </c>
      <c r="S55" t="s">
        <v>41</v>
      </c>
      <c r="T55">
        <v>2500</v>
      </c>
      <c r="U55">
        <v>2.9</v>
      </c>
      <c r="V55">
        <v>1070</v>
      </c>
      <c r="W55">
        <v>8</v>
      </c>
      <c r="X55">
        <v>240</v>
      </c>
      <c r="Y55" t="s">
        <v>42</v>
      </c>
      <c r="Z55" t="s">
        <v>43</v>
      </c>
      <c r="AA55" t="s">
        <v>44</v>
      </c>
      <c r="AB55">
        <v>1</v>
      </c>
      <c r="AC55">
        <v>1</v>
      </c>
      <c r="AE55">
        <v>1</v>
      </c>
    </row>
    <row r="56" spans="1:31" x14ac:dyDescent="0.35">
      <c r="A56" t="s">
        <v>120</v>
      </c>
      <c r="B56" t="s">
        <v>120</v>
      </c>
      <c r="C56" t="s">
        <v>32</v>
      </c>
      <c r="D56" t="s">
        <v>33</v>
      </c>
      <c r="E56" t="s">
        <v>34</v>
      </c>
      <c r="F56" s="2">
        <v>5.0212183436002702</v>
      </c>
      <c r="G56">
        <v>0</v>
      </c>
      <c r="H56">
        <v>15</v>
      </c>
      <c r="I56">
        <v>365</v>
      </c>
      <c r="J56" t="s">
        <v>35</v>
      </c>
      <c r="K56" t="s">
        <v>36</v>
      </c>
      <c r="L56">
        <v>67064</v>
      </c>
      <c r="M56">
        <v>5</v>
      </c>
      <c r="N56" t="s">
        <v>32</v>
      </c>
      <c r="O56" s="1">
        <v>2.1218343600270102E-2</v>
      </c>
      <c r="P56" t="s">
        <v>38</v>
      </c>
      <c r="Q56" t="s">
        <v>39</v>
      </c>
      <c r="R56" t="s">
        <v>40</v>
      </c>
      <c r="S56" t="s">
        <v>41</v>
      </c>
      <c r="T56">
        <v>2500</v>
      </c>
      <c r="U56">
        <v>2.9</v>
      </c>
      <c r="V56">
        <v>1070</v>
      </c>
      <c r="W56">
        <v>8</v>
      </c>
      <c r="X56">
        <v>240</v>
      </c>
      <c r="Y56" t="s">
        <v>42</v>
      </c>
      <c r="Z56" t="s">
        <v>43</v>
      </c>
      <c r="AA56" t="s">
        <v>44</v>
      </c>
      <c r="AB56">
        <v>1</v>
      </c>
      <c r="AC56">
        <v>1</v>
      </c>
      <c r="AE56">
        <v>1</v>
      </c>
    </row>
    <row r="57" spans="1:31" x14ac:dyDescent="0.35">
      <c r="A57" t="s">
        <v>126</v>
      </c>
      <c r="B57" t="s">
        <v>126</v>
      </c>
      <c r="C57" t="s">
        <v>32</v>
      </c>
      <c r="D57" t="s">
        <v>33</v>
      </c>
      <c r="E57" t="s">
        <v>51</v>
      </c>
      <c r="F57" s="2">
        <v>5.21013004791239</v>
      </c>
      <c r="G57">
        <v>0</v>
      </c>
      <c r="H57">
        <v>20</v>
      </c>
      <c r="I57">
        <v>133</v>
      </c>
      <c r="J57" t="s">
        <v>35</v>
      </c>
      <c r="K57" t="s">
        <v>36</v>
      </c>
      <c r="L57">
        <v>67064</v>
      </c>
      <c r="M57">
        <v>5.2</v>
      </c>
      <c r="N57" t="s">
        <v>32</v>
      </c>
      <c r="O57" s="1">
        <v>1.0130047912389801E-2</v>
      </c>
      <c r="P57" t="s">
        <v>38</v>
      </c>
      <c r="Q57" t="s">
        <v>39</v>
      </c>
      <c r="R57" t="s">
        <v>108</v>
      </c>
      <c r="S57" t="s">
        <v>41</v>
      </c>
      <c r="T57">
        <v>2500</v>
      </c>
      <c r="U57">
        <v>2.9</v>
      </c>
      <c r="V57">
        <v>1070</v>
      </c>
      <c r="W57">
        <v>8</v>
      </c>
      <c r="X57">
        <v>240</v>
      </c>
      <c r="Y57" t="s">
        <v>42</v>
      </c>
      <c r="Z57" t="s">
        <v>43</v>
      </c>
      <c r="AA57" t="s">
        <v>44</v>
      </c>
      <c r="AB57">
        <v>1</v>
      </c>
      <c r="AC57">
        <v>1</v>
      </c>
      <c r="AE57">
        <v>1</v>
      </c>
    </row>
    <row r="58" spans="1:31" x14ac:dyDescent="0.35">
      <c r="A58" t="s">
        <v>128</v>
      </c>
      <c r="B58" t="s">
        <v>128</v>
      </c>
      <c r="C58" t="s">
        <v>32</v>
      </c>
      <c r="D58" t="s">
        <v>33</v>
      </c>
      <c r="E58" t="s">
        <v>34</v>
      </c>
      <c r="F58" s="2">
        <v>8.3997262149212908</v>
      </c>
      <c r="G58">
        <v>10</v>
      </c>
      <c r="H58">
        <v>12</v>
      </c>
      <c r="I58">
        <v>115</v>
      </c>
      <c r="J58" t="s">
        <v>35</v>
      </c>
      <c r="K58" t="s">
        <v>36</v>
      </c>
      <c r="L58">
        <v>67064</v>
      </c>
      <c r="M58">
        <v>8.4</v>
      </c>
      <c r="N58" t="s">
        <v>32</v>
      </c>
      <c r="O58">
        <v>2.7378507870956498E-4</v>
      </c>
      <c r="P58" t="s">
        <v>38</v>
      </c>
      <c r="Q58" t="s">
        <v>39</v>
      </c>
      <c r="R58" t="s">
        <v>40</v>
      </c>
      <c r="S58" t="s">
        <v>41</v>
      </c>
      <c r="T58">
        <v>2500</v>
      </c>
      <c r="U58">
        <v>2.9</v>
      </c>
      <c r="V58">
        <v>1070</v>
      </c>
      <c r="W58">
        <v>8</v>
      </c>
      <c r="X58">
        <v>240</v>
      </c>
      <c r="Y58" t="s">
        <v>42</v>
      </c>
      <c r="Z58" t="s">
        <v>43</v>
      </c>
      <c r="AA58" t="s">
        <v>44</v>
      </c>
      <c r="AB58">
        <v>1</v>
      </c>
      <c r="AC58">
        <v>1</v>
      </c>
      <c r="AE58">
        <v>1</v>
      </c>
    </row>
    <row r="59" spans="1:31" x14ac:dyDescent="0.35">
      <c r="A59" t="s">
        <v>129</v>
      </c>
      <c r="B59" t="s">
        <v>129</v>
      </c>
      <c r="C59" t="s">
        <v>32</v>
      </c>
      <c r="D59" t="s">
        <v>33</v>
      </c>
      <c r="E59" t="s">
        <v>51</v>
      </c>
      <c r="F59" s="2">
        <v>7.7837097878165604</v>
      </c>
      <c r="G59">
        <v>0</v>
      </c>
      <c r="H59">
        <v>19</v>
      </c>
      <c r="I59">
        <v>42</v>
      </c>
      <c r="J59" t="s">
        <v>35</v>
      </c>
      <c r="K59" t="s">
        <v>36</v>
      </c>
      <c r="L59">
        <v>67064</v>
      </c>
      <c r="M59">
        <v>7.8</v>
      </c>
      <c r="N59" t="s">
        <v>32</v>
      </c>
      <c r="O59">
        <v>1.6290212183439401E-2</v>
      </c>
      <c r="P59" t="s">
        <v>38</v>
      </c>
      <c r="Q59" t="s">
        <v>39</v>
      </c>
      <c r="R59" t="s">
        <v>40</v>
      </c>
      <c r="S59" t="s">
        <v>41</v>
      </c>
      <c r="T59">
        <v>2500</v>
      </c>
      <c r="U59">
        <v>2.9</v>
      </c>
      <c r="V59">
        <v>1070</v>
      </c>
      <c r="W59">
        <v>8</v>
      </c>
      <c r="X59">
        <v>240</v>
      </c>
      <c r="Y59" t="s">
        <v>42</v>
      </c>
      <c r="Z59" t="s">
        <v>43</v>
      </c>
      <c r="AA59" t="s">
        <v>44</v>
      </c>
      <c r="AB59">
        <v>1</v>
      </c>
      <c r="AC59">
        <v>1</v>
      </c>
      <c r="AE59">
        <v>1</v>
      </c>
    </row>
    <row r="60" spans="1:31" x14ac:dyDescent="0.35">
      <c r="A60" t="s">
        <v>130</v>
      </c>
      <c r="B60" t="s">
        <v>130</v>
      </c>
      <c r="C60" t="s">
        <v>32</v>
      </c>
      <c r="D60" t="s">
        <v>33</v>
      </c>
      <c r="E60" t="s">
        <v>34</v>
      </c>
      <c r="F60" s="2">
        <v>8.9363449691991796</v>
      </c>
      <c r="G60">
        <v>0</v>
      </c>
      <c r="H60">
        <v>23</v>
      </c>
      <c r="I60">
        <v>297</v>
      </c>
      <c r="J60" t="s">
        <v>35</v>
      </c>
      <c r="K60" t="s">
        <v>36</v>
      </c>
      <c r="L60">
        <v>67064</v>
      </c>
      <c r="M60">
        <v>8.9</v>
      </c>
      <c r="N60" t="s">
        <v>32</v>
      </c>
      <c r="O60">
        <v>3.6344969199179199E-2</v>
      </c>
      <c r="P60" t="s">
        <v>38</v>
      </c>
      <c r="Q60" t="s">
        <v>39</v>
      </c>
      <c r="R60" t="s">
        <v>40</v>
      </c>
      <c r="S60" t="s">
        <v>41</v>
      </c>
      <c r="T60">
        <v>2500</v>
      </c>
      <c r="U60">
        <v>2.9</v>
      </c>
      <c r="V60">
        <v>1070</v>
      </c>
      <c r="W60">
        <v>8</v>
      </c>
      <c r="X60">
        <v>240</v>
      </c>
      <c r="Y60" t="s">
        <v>42</v>
      </c>
      <c r="Z60" t="s">
        <v>43</v>
      </c>
      <c r="AA60" t="s">
        <v>44</v>
      </c>
      <c r="AB60">
        <v>1</v>
      </c>
      <c r="AC60">
        <v>1</v>
      </c>
      <c r="AE60">
        <v>1</v>
      </c>
    </row>
    <row r="61" spans="1:31" x14ac:dyDescent="0.35">
      <c r="A61" t="s">
        <v>132</v>
      </c>
      <c r="B61" t="s">
        <v>132</v>
      </c>
      <c r="C61" t="s">
        <v>32</v>
      </c>
      <c r="D61" t="s">
        <v>33</v>
      </c>
      <c r="E61" t="s">
        <v>34</v>
      </c>
      <c r="F61" s="2">
        <v>5.8480492813141698</v>
      </c>
      <c r="G61">
        <v>10</v>
      </c>
      <c r="H61">
        <v>16</v>
      </c>
      <c r="I61">
        <v>197</v>
      </c>
      <c r="J61" t="s">
        <v>35</v>
      </c>
      <c r="K61" t="s">
        <v>36</v>
      </c>
      <c r="L61">
        <v>67064</v>
      </c>
      <c r="M61">
        <v>5.8</v>
      </c>
      <c r="N61" t="s">
        <v>32</v>
      </c>
      <c r="O61">
        <v>4.8049281314169898E-2</v>
      </c>
      <c r="P61" t="s">
        <v>38</v>
      </c>
      <c r="Q61" t="s">
        <v>39</v>
      </c>
      <c r="R61" t="s">
        <v>40</v>
      </c>
      <c r="S61" t="s">
        <v>41</v>
      </c>
      <c r="T61">
        <v>2500</v>
      </c>
      <c r="U61">
        <v>2.9</v>
      </c>
      <c r="V61">
        <v>1070</v>
      </c>
      <c r="W61">
        <v>8</v>
      </c>
      <c r="X61">
        <v>240</v>
      </c>
      <c r="Y61" t="s">
        <v>42</v>
      </c>
      <c r="Z61" t="s">
        <v>43</v>
      </c>
      <c r="AA61" t="s">
        <v>44</v>
      </c>
      <c r="AB61">
        <v>1</v>
      </c>
      <c r="AC61">
        <v>1</v>
      </c>
      <c r="AE61">
        <v>1</v>
      </c>
    </row>
    <row r="62" spans="1:31" x14ac:dyDescent="0.35">
      <c r="A62" t="s">
        <v>133</v>
      </c>
      <c r="B62" t="s">
        <v>133</v>
      </c>
      <c r="C62" t="s">
        <v>32</v>
      </c>
      <c r="D62" t="s">
        <v>33</v>
      </c>
      <c r="E62" t="s">
        <v>51</v>
      </c>
      <c r="F62" s="2">
        <v>7.2662559890485996</v>
      </c>
      <c r="G62">
        <v>0</v>
      </c>
      <c r="H62">
        <v>16</v>
      </c>
      <c r="I62">
        <v>344</v>
      </c>
      <c r="J62" t="s">
        <v>35</v>
      </c>
      <c r="K62" t="s">
        <v>36</v>
      </c>
      <c r="L62">
        <v>67064</v>
      </c>
      <c r="M62">
        <v>7.3</v>
      </c>
      <c r="N62" t="s">
        <v>32</v>
      </c>
      <c r="O62">
        <v>3.37440109514002E-2</v>
      </c>
      <c r="P62" t="s">
        <v>38</v>
      </c>
      <c r="Q62" t="s">
        <v>39</v>
      </c>
      <c r="R62" t="s">
        <v>40</v>
      </c>
      <c r="S62" t="s">
        <v>41</v>
      </c>
      <c r="T62">
        <v>2500</v>
      </c>
      <c r="U62">
        <v>2.9</v>
      </c>
      <c r="V62">
        <v>1070</v>
      </c>
      <c r="W62">
        <v>8</v>
      </c>
      <c r="X62">
        <v>240</v>
      </c>
      <c r="Y62" t="s">
        <v>42</v>
      </c>
      <c r="Z62" t="s">
        <v>43</v>
      </c>
      <c r="AA62" t="s">
        <v>44</v>
      </c>
      <c r="AB62">
        <v>1</v>
      </c>
      <c r="AC62">
        <v>1</v>
      </c>
      <c r="AE62">
        <v>1</v>
      </c>
    </row>
    <row r="63" spans="1:31" x14ac:dyDescent="0.35">
      <c r="A63" t="s">
        <v>136</v>
      </c>
      <c r="B63" t="s">
        <v>136</v>
      </c>
      <c r="C63" t="s">
        <v>32</v>
      </c>
      <c r="D63" t="s">
        <v>33</v>
      </c>
      <c r="E63" t="s">
        <v>34</v>
      </c>
      <c r="F63" s="2">
        <v>7.7481177275838498</v>
      </c>
      <c r="G63">
        <v>0</v>
      </c>
      <c r="H63">
        <v>14</v>
      </c>
      <c r="I63">
        <v>224</v>
      </c>
      <c r="J63" t="s">
        <v>35</v>
      </c>
      <c r="K63" t="s">
        <v>36</v>
      </c>
      <c r="L63">
        <v>67064</v>
      </c>
      <c r="M63">
        <v>7.7</v>
      </c>
      <c r="N63" t="s">
        <v>32</v>
      </c>
      <c r="O63">
        <v>4.8117727583849502E-2</v>
      </c>
      <c r="P63" t="s">
        <v>38</v>
      </c>
      <c r="Q63" t="s">
        <v>39</v>
      </c>
      <c r="R63" t="s">
        <v>40</v>
      </c>
      <c r="S63" t="s">
        <v>41</v>
      </c>
      <c r="T63">
        <v>2500</v>
      </c>
      <c r="U63">
        <v>2.9</v>
      </c>
      <c r="V63">
        <v>1070</v>
      </c>
      <c r="W63">
        <v>8</v>
      </c>
      <c r="X63">
        <v>240</v>
      </c>
      <c r="Y63" t="s">
        <v>42</v>
      </c>
      <c r="Z63" t="s">
        <v>43</v>
      </c>
      <c r="AA63" t="s">
        <v>44</v>
      </c>
      <c r="AB63">
        <v>1</v>
      </c>
      <c r="AC63">
        <v>1</v>
      </c>
      <c r="AE63">
        <v>1</v>
      </c>
    </row>
    <row r="64" spans="1:31" x14ac:dyDescent="0.35">
      <c r="A64" t="s">
        <v>137</v>
      </c>
      <c r="B64" t="s">
        <v>137</v>
      </c>
      <c r="C64" t="s">
        <v>32</v>
      </c>
      <c r="D64" t="s">
        <v>33</v>
      </c>
      <c r="E64" t="s">
        <v>34</v>
      </c>
      <c r="F64" s="2">
        <v>5.0568104038329897</v>
      </c>
      <c r="G64">
        <v>10</v>
      </c>
      <c r="H64">
        <v>10</v>
      </c>
      <c r="I64">
        <v>167</v>
      </c>
      <c r="J64" t="s">
        <v>35</v>
      </c>
      <c r="K64" t="s">
        <v>36</v>
      </c>
      <c r="L64">
        <v>67064</v>
      </c>
      <c r="M64">
        <v>5.0999999999999996</v>
      </c>
      <c r="N64" t="s">
        <v>32</v>
      </c>
      <c r="O64">
        <v>4.3189596167009903E-2</v>
      </c>
      <c r="P64" t="s">
        <v>38</v>
      </c>
      <c r="Q64" t="s">
        <v>39</v>
      </c>
      <c r="R64" t="s">
        <v>40</v>
      </c>
      <c r="S64" t="s">
        <v>41</v>
      </c>
      <c r="T64">
        <v>2500</v>
      </c>
      <c r="U64">
        <v>2.9</v>
      </c>
      <c r="V64">
        <v>1070</v>
      </c>
      <c r="W64">
        <v>8</v>
      </c>
      <c r="X64">
        <v>240</v>
      </c>
      <c r="Y64" t="s">
        <v>42</v>
      </c>
      <c r="Z64" t="s">
        <v>43</v>
      </c>
      <c r="AA64" t="s">
        <v>44</v>
      </c>
      <c r="AB64">
        <v>1</v>
      </c>
      <c r="AC64">
        <v>1</v>
      </c>
      <c r="AE64">
        <v>1</v>
      </c>
    </row>
    <row r="65" spans="1:31" x14ac:dyDescent="0.35">
      <c r="A65" t="s">
        <v>143</v>
      </c>
      <c r="B65" t="s">
        <v>143</v>
      </c>
      <c r="C65" t="s">
        <v>32</v>
      </c>
      <c r="D65" t="s">
        <v>33</v>
      </c>
      <c r="E65" t="s">
        <v>34</v>
      </c>
      <c r="F65" s="2">
        <v>10.321697467488001</v>
      </c>
      <c r="G65">
        <v>0</v>
      </c>
      <c r="H65">
        <v>12</v>
      </c>
      <c r="I65">
        <v>112</v>
      </c>
      <c r="J65" t="s">
        <v>35</v>
      </c>
      <c r="K65" t="s">
        <v>36</v>
      </c>
      <c r="L65">
        <v>67064</v>
      </c>
      <c r="M65">
        <v>10.3</v>
      </c>
      <c r="N65" t="s">
        <v>32</v>
      </c>
      <c r="O65" s="1">
        <v>2.1697467487999899E-2</v>
      </c>
      <c r="P65" t="s">
        <v>38</v>
      </c>
      <c r="Q65" t="s">
        <v>39</v>
      </c>
      <c r="R65" t="s">
        <v>40</v>
      </c>
      <c r="S65" t="s">
        <v>41</v>
      </c>
      <c r="T65">
        <v>2500</v>
      </c>
      <c r="U65">
        <v>2.9</v>
      </c>
      <c r="V65">
        <v>1070</v>
      </c>
      <c r="W65">
        <v>8</v>
      </c>
      <c r="X65">
        <v>240</v>
      </c>
      <c r="Y65" t="s">
        <v>42</v>
      </c>
      <c r="Z65" t="s">
        <v>43</v>
      </c>
      <c r="AA65" t="s">
        <v>44</v>
      </c>
      <c r="AB65">
        <v>1</v>
      </c>
      <c r="AC65">
        <v>1</v>
      </c>
      <c r="AE65">
        <v>1</v>
      </c>
    </row>
    <row r="66" spans="1:31" x14ac:dyDescent="0.35">
      <c r="A66" t="s">
        <v>144</v>
      </c>
      <c r="B66" t="s">
        <v>144</v>
      </c>
      <c r="C66" t="s">
        <v>32</v>
      </c>
      <c r="D66" t="s">
        <v>33</v>
      </c>
      <c r="E66" t="s">
        <v>34</v>
      </c>
      <c r="F66" s="2">
        <v>8.1380262249827506</v>
      </c>
      <c r="G66">
        <v>10</v>
      </c>
      <c r="H66">
        <v>21</v>
      </c>
      <c r="I66">
        <v>179</v>
      </c>
      <c r="J66" t="s">
        <v>35</v>
      </c>
      <c r="K66" t="s">
        <v>36</v>
      </c>
      <c r="L66">
        <v>67064</v>
      </c>
      <c r="M66">
        <v>8.1</v>
      </c>
      <c r="N66" t="s">
        <v>32</v>
      </c>
      <c r="O66">
        <v>3.8026224982750899E-2</v>
      </c>
      <c r="P66" t="s">
        <v>38</v>
      </c>
      <c r="Q66" t="s">
        <v>39</v>
      </c>
      <c r="R66" t="s">
        <v>40</v>
      </c>
      <c r="S66" t="s">
        <v>41</v>
      </c>
      <c r="T66">
        <v>2500</v>
      </c>
      <c r="U66">
        <v>2.9</v>
      </c>
      <c r="V66">
        <v>1070</v>
      </c>
      <c r="W66">
        <v>8</v>
      </c>
      <c r="X66">
        <v>240</v>
      </c>
      <c r="Y66" t="s">
        <v>42</v>
      </c>
      <c r="Z66" t="s">
        <v>43</v>
      </c>
      <c r="AA66" t="s">
        <v>44</v>
      </c>
      <c r="AB66">
        <v>1</v>
      </c>
      <c r="AC66">
        <v>1</v>
      </c>
      <c r="AE66">
        <v>1</v>
      </c>
    </row>
    <row r="67" spans="1:31" x14ac:dyDescent="0.35">
      <c r="A67" t="s">
        <v>145</v>
      </c>
      <c r="B67" t="s">
        <v>145</v>
      </c>
      <c r="C67" t="s">
        <v>32</v>
      </c>
      <c r="D67" t="s">
        <v>33</v>
      </c>
      <c r="E67" t="s">
        <v>51</v>
      </c>
      <c r="F67" s="2">
        <v>8.4024640657084202</v>
      </c>
      <c r="G67">
        <v>10</v>
      </c>
      <c r="H67">
        <v>22</v>
      </c>
      <c r="I67">
        <v>199</v>
      </c>
      <c r="J67" t="s">
        <v>35</v>
      </c>
      <c r="K67" t="s">
        <v>36</v>
      </c>
      <c r="L67">
        <v>67064</v>
      </c>
      <c r="M67">
        <v>8.4</v>
      </c>
      <c r="N67" t="s">
        <v>32</v>
      </c>
      <c r="O67">
        <v>2.4640657084198298E-3</v>
      </c>
      <c r="P67" t="s">
        <v>38</v>
      </c>
      <c r="Q67" t="s">
        <v>39</v>
      </c>
      <c r="R67" t="s">
        <v>40</v>
      </c>
      <c r="S67" t="s">
        <v>41</v>
      </c>
      <c r="T67">
        <v>2500</v>
      </c>
      <c r="U67">
        <v>2.9</v>
      </c>
      <c r="V67">
        <v>1070</v>
      </c>
      <c r="W67">
        <v>8</v>
      </c>
      <c r="X67">
        <v>240</v>
      </c>
      <c r="Y67" t="s">
        <v>42</v>
      </c>
      <c r="Z67" t="s">
        <v>43</v>
      </c>
      <c r="AA67" t="s">
        <v>44</v>
      </c>
      <c r="AB67">
        <v>1</v>
      </c>
      <c r="AC67">
        <v>1</v>
      </c>
      <c r="AE67">
        <v>1</v>
      </c>
    </row>
    <row r="68" spans="1:31" x14ac:dyDescent="0.35">
      <c r="A68" t="s">
        <v>57</v>
      </c>
      <c r="B68" t="s">
        <v>57</v>
      </c>
      <c r="C68" t="s">
        <v>58</v>
      </c>
      <c r="D68" t="s">
        <v>33</v>
      </c>
      <c r="E68" t="s">
        <v>34</v>
      </c>
      <c r="F68" s="2">
        <v>9.6180698151950708</v>
      </c>
      <c r="G68">
        <v>5</v>
      </c>
      <c r="H68">
        <v>15</v>
      </c>
      <c r="I68">
        <v>2104</v>
      </c>
      <c r="J68" t="s">
        <v>35</v>
      </c>
      <c r="K68" t="s">
        <v>36</v>
      </c>
      <c r="L68">
        <v>67064</v>
      </c>
      <c r="M68">
        <v>9.6</v>
      </c>
      <c r="N68" t="s">
        <v>58</v>
      </c>
      <c r="O68" s="1">
        <v>1.8069815195071101E-2</v>
      </c>
      <c r="P68" t="s">
        <v>59</v>
      </c>
      <c r="Q68" t="s">
        <v>39</v>
      </c>
      <c r="R68" t="s">
        <v>48</v>
      </c>
      <c r="S68" t="s">
        <v>41</v>
      </c>
      <c r="T68">
        <v>2500</v>
      </c>
      <c r="U68">
        <v>2.9</v>
      </c>
      <c r="V68">
        <v>1070</v>
      </c>
      <c r="W68">
        <v>8</v>
      </c>
      <c r="X68">
        <v>240</v>
      </c>
      <c r="Y68" t="s">
        <v>42</v>
      </c>
      <c r="Z68" t="s">
        <v>43</v>
      </c>
      <c r="AA68" t="s">
        <v>44</v>
      </c>
      <c r="AB68">
        <v>1</v>
      </c>
      <c r="AC68">
        <v>1</v>
      </c>
      <c r="AE68">
        <v>1</v>
      </c>
    </row>
    <row r="69" spans="1:31" x14ac:dyDescent="0.35">
      <c r="A69" t="s">
        <v>64</v>
      </c>
      <c r="B69" t="s">
        <v>64</v>
      </c>
      <c r="C69" t="s">
        <v>58</v>
      </c>
      <c r="D69" t="s">
        <v>33</v>
      </c>
      <c r="E69" t="s">
        <v>34</v>
      </c>
      <c r="F69" s="2">
        <v>8.6598220396988399</v>
      </c>
      <c r="G69">
        <v>20</v>
      </c>
      <c r="H69">
        <v>19</v>
      </c>
      <c r="I69">
        <v>401</v>
      </c>
      <c r="J69" t="s">
        <v>35</v>
      </c>
      <c r="K69" t="s">
        <v>36</v>
      </c>
      <c r="L69">
        <v>67064</v>
      </c>
      <c r="M69">
        <v>8.6999999999999993</v>
      </c>
      <c r="N69" t="s">
        <v>58</v>
      </c>
      <c r="O69">
        <v>4.0177960301159298E-2</v>
      </c>
      <c r="P69" t="s">
        <v>59</v>
      </c>
      <c r="Q69" t="s">
        <v>39</v>
      </c>
      <c r="R69" t="s">
        <v>48</v>
      </c>
      <c r="S69" t="s">
        <v>41</v>
      </c>
      <c r="T69">
        <v>2500</v>
      </c>
      <c r="U69">
        <v>2.9</v>
      </c>
      <c r="V69">
        <v>1070</v>
      </c>
      <c r="W69">
        <v>8</v>
      </c>
      <c r="X69">
        <v>240</v>
      </c>
      <c r="Y69" t="s">
        <v>42</v>
      </c>
      <c r="Z69" t="s">
        <v>43</v>
      </c>
      <c r="AA69" t="s">
        <v>44</v>
      </c>
      <c r="AB69">
        <v>1</v>
      </c>
      <c r="AC69">
        <v>1</v>
      </c>
      <c r="AE69">
        <v>1</v>
      </c>
    </row>
    <row r="70" spans="1:31" x14ac:dyDescent="0.35">
      <c r="A70" t="s">
        <v>66</v>
      </c>
      <c r="B70" t="s">
        <v>66</v>
      </c>
      <c r="C70" t="s">
        <v>58</v>
      </c>
      <c r="D70" t="s">
        <v>33</v>
      </c>
      <c r="E70" t="s">
        <v>34</v>
      </c>
      <c r="F70" s="2">
        <v>7.1786447638603699</v>
      </c>
      <c r="G70">
        <v>25</v>
      </c>
      <c r="H70">
        <v>30</v>
      </c>
      <c r="I70">
        <v>1497</v>
      </c>
      <c r="J70" t="s">
        <v>35</v>
      </c>
      <c r="K70" t="s">
        <v>36</v>
      </c>
      <c r="L70">
        <v>67064</v>
      </c>
      <c r="M70">
        <v>7.2</v>
      </c>
      <c r="N70" t="s">
        <v>58</v>
      </c>
      <c r="O70" s="1">
        <v>2.13552361396303E-2</v>
      </c>
      <c r="P70" t="s">
        <v>59</v>
      </c>
      <c r="Q70" t="s">
        <v>39</v>
      </c>
      <c r="R70" t="s">
        <v>48</v>
      </c>
      <c r="S70" t="s">
        <v>41</v>
      </c>
      <c r="T70">
        <v>2500</v>
      </c>
      <c r="U70">
        <v>2.9</v>
      </c>
      <c r="V70">
        <v>1070</v>
      </c>
      <c r="W70">
        <v>8</v>
      </c>
      <c r="X70">
        <v>240</v>
      </c>
      <c r="Y70" t="s">
        <v>42</v>
      </c>
      <c r="Z70" t="s">
        <v>43</v>
      </c>
      <c r="AA70" t="s">
        <v>44</v>
      </c>
      <c r="AB70">
        <v>1</v>
      </c>
      <c r="AC70">
        <v>1</v>
      </c>
      <c r="AE70">
        <v>1</v>
      </c>
    </row>
    <row r="71" spans="1:31" x14ac:dyDescent="0.35">
      <c r="A71" t="s">
        <v>70</v>
      </c>
      <c r="B71" t="s">
        <v>70</v>
      </c>
      <c r="C71" t="s">
        <v>58</v>
      </c>
      <c r="D71" t="s">
        <v>33</v>
      </c>
      <c r="E71" t="s">
        <v>34</v>
      </c>
      <c r="F71" s="2">
        <v>6.2039698836413404</v>
      </c>
      <c r="G71">
        <v>0</v>
      </c>
      <c r="H71">
        <v>15</v>
      </c>
      <c r="I71">
        <v>1220</v>
      </c>
      <c r="J71" t="s">
        <v>35</v>
      </c>
      <c r="K71" t="s">
        <v>36</v>
      </c>
      <c r="L71">
        <v>67064</v>
      </c>
      <c r="M71">
        <v>6.2</v>
      </c>
      <c r="N71" t="s">
        <v>58</v>
      </c>
      <c r="O71">
        <v>3.9698836413402097E-3</v>
      </c>
      <c r="P71" t="s">
        <v>59</v>
      </c>
      <c r="Q71" t="s">
        <v>39</v>
      </c>
      <c r="R71" t="s">
        <v>48</v>
      </c>
      <c r="S71" t="s">
        <v>41</v>
      </c>
      <c r="T71">
        <v>2500</v>
      </c>
      <c r="U71">
        <v>2.9</v>
      </c>
      <c r="V71">
        <v>1070</v>
      </c>
      <c r="W71">
        <v>8</v>
      </c>
      <c r="X71">
        <v>240</v>
      </c>
      <c r="Y71" t="s">
        <v>42</v>
      </c>
      <c r="Z71" t="s">
        <v>43</v>
      </c>
      <c r="AA71" t="s">
        <v>44</v>
      </c>
      <c r="AB71">
        <v>1</v>
      </c>
      <c r="AC71">
        <v>1</v>
      </c>
      <c r="AE71">
        <v>1</v>
      </c>
    </row>
    <row r="72" spans="1:31" x14ac:dyDescent="0.35">
      <c r="A72" t="s">
        <v>73</v>
      </c>
      <c r="B72" t="s">
        <v>73</v>
      </c>
      <c r="C72" t="s">
        <v>58</v>
      </c>
      <c r="D72" t="s">
        <v>33</v>
      </c>
      <c r="E72" t="s">
        <v>51</v>
      </c>
      <c r="F72" s="2">
        <v>7.7426420260095803</v>
      </c>
      <c r="G72">
        <v>35</v>
      </c>
      <c r="H72">
        <v>34</v>
      </c>
      <c r="I72">
        <v>399</v>
      </c>
      <c r="J72" t="s">
        <v>35</v>
      </c>
      <c r="K72" t="s">
        <v>36</v>
      </c>
      <c r="L72">
        <v>67064</v>
      </c>
      <c r="M72">
        <v>7.7</v>
      </c>
      <c r="N72" t="s">
        <v>58</v>
      </c>
      <c r="O72" s="1">
        <v>4.26420260095801E-2</v>
      </c>
      <c r="P72" t="s">
        <v>59</v>
      </c>
      <c r="Q72" t="s">
        <v>39</v>
      </c>
      <c r="R72" t="s">
        <v>48</v>
      </c>
      <c r="S72" t="s">
        <v>41</v>
      </c>
      <c r="T72">
        <v>2500</v>
      </c>
      <c r="U72">
        <v>2.9</v>
      </c>
      <c r="V72">
        <v>1070</v>
      </c>
      <c r="W72">
        <v>8</v>
      </c>
      <c r="X72">
        <v>240</v>
      </c>
      <c r="Y72" t="s">
        <v>42</v>
      </c>
      <c r="Z72" t="s">
        <v>43</v>
      </c>
      <c r="AA72" t="s">
        <v>44</v>
      </c>
      <c r="AB72">
        <v>1</v>
      </c>
      <c r="AC72">
        <v>1</v>
      </c>
      <c r="AE72">
        <v>1</v>
      </c>
    </row>
    <row r="73" spans="1:31" x14ac:dyDescent="0.35">
      <c r="A73" t="s">
        <v>74</v>
      </c>
      <c r="B73" t="s">
        <v>74</v>
      </c>
      <c r="C73" t="s">
        <v>58</v>
      </c>
      <c r="D73" t="s">
        <v>33</v>
      </c>
      <c r="E73" t="s">
        <v>34</v>
      </c>
      <c r="F73" s="2">
        <v>9.0732375085557795</v>
      </c>
      <c r="G73">
        <v>0</v>
      </c>
      <c r="H73">
        <v>19</v>
      </c>
      <c r="I73">
        <v>1507</v>
      </c>
      <c r="J73" t="s">
        <v>35</v>
      </c>
      <c r="K73" t="s">
        <v>36</v>
      </c>
      <c r="L73">
        <v>67064</v>
      </c>
      <c r="M73">
        <v>9.1</v>
      </c>
      <c r="N73" t="s">
        <v>58</v>
      </c>
      <c r="O73">
        <v>2.6762491444220101E-2</v>
      </c>
      <c r="P73" t="s">
        <v>59</v>
      </c>
      <c r="Q73" t="s">
        <v>39</v>
      </c>
      <c r="R73" t="s">
        <v>48</v>
      </c>
      <c r="S73" t="s">
        <v>41</v>
      </c>
      <c r="T73">
        <v>2500</v>
      </c>
      <c r="U73">
        <v>2.9</v>
      </c>
      <c r="V73">
        <v>1070</v>
      </c>
      <c r="W73">
        <v>8</v>
      </c>
      <c r="X73">
        <v>240</v>
      </c>
      <c r="Y73" t="s">
        <v>42</v>
      </c>
      <c r="Z73" t="s">
        <v>43</v>
      </c>
      <c r="AA73" t="s">
        <v>44</v>
      </c>
      <c r="AB73">
        <v>1</v>
      </c>
      <c r="AC73">
        <v>1</v>
      </c>
      <c r="AE73">
        <v>1</v>
      </c>
    </row>
    <row r="74" spans="1:31" x14ac:dyDescent="0.35">
      <c r="A74" t="s">
        <v>75</v>
      </c>
      <c r="B74" t="s">
        <v>75</v>
      </c>
      <c r="C74" t="s">
        <v>58</v>
      </c>
      <c r="D74" t="s">
        <v>33</v>
      </c>
      <c r="E74" t="s">
        <v>34</v>
      </c>
      <c r="F74" s="2">
        <v>6.9</v>
      </c>
      <c r="G74">
        <v>15</v>
      </c>
      <c r="H74">
        <v>14</v>
      </c>
      <c r="I74">
        <v>372</v>
      </c>
      <c r="J74" t="s">
        <v>76</v>
      </c>
      <c r="K74" t="s">
        <v>36</v>
      </c>
      <c r="L74">
        <v>67064</v>
      </c>
      <c r="M74">
        <v>6.9</v>
      </c>
      <c r="N74" t="s">
        <v>77</v>
      </c>
      <c r="O74">
        <v>0</v>
      </c>
      <c r="P74" t="s">
        <v>59</v>
      </c>
      <c r="Q74" t="s">
        <v>39</v>
      </c>
      <c r="R74" t="s">
        <v>48</v>
      </c>
      <c r="S74" t="s">
        <v>41</v>
      </c>
      <c r="T74">
        <v>2500</v>
      </c>
      <c r="U74">
        <v>2.9</v>
      </c>
      <c r="V74">
        <v>1070</v>
      </c>
      <c r="W74">
        <v>8</v>
      </c>
      <c r="X74">
        <v>240</v>
      </c>
      <c r="Y74" t="s">
        <v>42</v>
      </c>
      <c r="Z74" t="s">
        <v>43</v>
      </c>
      <c r="AA74" t="s">
        <v>44</v>
      </c>
      <c r="AB74">
        <v>1</v>
      </c>
      <c r="AC74">
        <v>1</v>
      </c>
      <c r="AE74">
        <v>1</v>
      </c>
    </row>
    <row r="75" spans="1:31" x14ac:dyDescent="0.35">
      <c r="A75" t="s">
        <v>81</v>
      </c>
      <c r="B75" t="s">
        <v>81</v>
      </c>
      <c r="C75" t="s">
        <v>58</v>
      </c>
      <c r="D75" t="s">
        <v>33</v>
      </c>
      <c r="E75" t="s">
        <v>51</v>
      </c>
      <c r="F75" s="2">
        <v>10.7323750855578</v>
      </c>
      <c r="G75">
        <v>10</v>
      </c>
      <c r="H75">
        <v>13</v>
      </c>
      <c r="I75">
        <v>907</v>
      </c>
      <c r="J75" t="s">
        <v>35</v>
      </c>
      <c r="K75" t="s">
        <v>36</v>
      </c>
      <c r="L75">
        <v>67064</v>
      </c>
      <c r="M75">
        <v>10.7</v>
      </c>
      <c r="N75" t="s">
        <v>77</v>
      </c>
      <c r="O75">
        <v>3.2375085557800803E-2</v>
      </c>
      <c r="P75" t="s">
        <v>59</v>
      </c>
      <c r="Q75" t="s">
        <v>39</v>
      </c>
      <c r="R75" t="s">
        <v>48</v>
      </c>
      <c r="S75" t="s">
        <v>41</v>
      </c>
      <c r="T75">
        <v>2500</v>
      </c>
      <c r="U75">
        <v>2.9</v>
      </c>
      <c r="V75">
        <v>1070</v>
      </c>
      <c r="W75">
        <v>8</v>
      </c>
      <c r="X75">
        <v>240</v>
      </c>
      <c r="Y75" t="s">
        <v>42</v>
      </c>
      <c r="Z75" t="s">
        <v>43</v>
      </c>
      <c r="AA75" t="s">
        <v>44</v>
      </c>
      <c r="AB75">
        <v>1</v>
      </c>
      <c r="AC75">
        <v>1</v>
      </c>
      <c r="AE75">
        <v>1</v>
      </c>
    </row>
    <row r="76" spans="1:31" x14ac:dyDescent="0.35">
      <c r="A76" t="s">
        <v>87</v>
      </c>
      <c r="B76" t="s">
        <v>87</v>
      </c>
      <c r="C76" t="s">
        <v>58</v>
      </c>
      <c r="D76" t="s">
        <v>33</v>
      </c>
      <c r="E76" t="s">
        <v>51</v>
      </c>
      <c r="F76" s="2">
        <v>7.4414784394250502</v>
      </c>
      <c r="G76">
        <v>0</v>
      </c>
      <c r="H76">
        <v>19</v>
      </c>
      <c r="I76">
        <v>899</v>
      </c>
      <c r="J76" t="s">
        <v>35</v>
      </c>
      <c r="K76" t="s">
        <v>36</v>
      </c>
      <c r="L76">
        <v>67064</v>
      </c>
      <c r="M76">
        <v>7.4</v>
      </c>
      <c r="N76" t="s">
        <v>58</v>
      </c>
      <c r="O76">
        <v>4.14784394250498E-2</v>
      </c>
      <c r="P76" t="s">
        <v>59</v>
      </c>
      <c r="Q76" t="s">
        <v>39</v>
      </c>
      <c r="R76" t="s">
        <v>48</v>
      </c>
      <c r="S76" t="s">
        <v>41</v>
      </c>
      <c r="T76">
        <v>2500</v>
      </c>
      <c r="U76">
        <v>2.9</v>
      </c>
      <c r="V76">
        <v>1070</v>
      </c>
      <c r="W76">
        <v>8</v>
      </c>
      <c r="X76">
        <v>240</v>
      </c>
      <c r="Y76" t="s">
        <v>42</v>
      </c>
      <c r="Z76" t="s">
        <v>43</v>
      </c>
      <c r="AA76" t="s">
        <v>44</v>
      </c>
      <c r="AB76">
        <v>1</v>
      </c>
      <c r="AC76">
        <v>1</v>
      </c>
      <c r="AE76">
        <v>1</v>
      </c>
    </row>
    <row r="77" spans="1:31" x14ac:dyDescent="0.35">
      <c r="A77" t="s">
        <v>95</v>
      </c>
      <c r="B77" t="s">
        <v>96</v>
      </c>
      <c r="C77" t="s">
        <v>58</v>
      </c>
      <c r="D77" t="s">
        <v>33</v>
      </c>
      <c r="E77" t="s">
        <v>34</v>
      </c>
      <c r="F77" s="2">
        <v>8.1724845995893194</v>
      </c>
      <c r="G77">
        <v>0</v>
      </c>
      <c r="H77">
        <v>14</v>
      </c>
      <c r="I77">
        <v>1546</v>
      </c>
      <c r="J77" t="s">
        <v>35</v>
      </c>
      <c r="K77" t="s">
        <v>36</v>
      </c>
      <c r="L77">
        <v>67064</v>
      </c>
      <c r="M77">
        <v>8.1999999999999993</v>
      </c>
      <c r="N77" t="s">
        <v>58</v>
      </c>
      <c r="O77" s="1">
        <v>2.7515400410679899E-2</v>
      </c>
      <c r="P77" t="s">
        <v>59</v>
      </c>
      <c r="Q77" t="s">
        <v>39</v>
      </c>
      <c r="R77" t="s">
        <v>48</v>
      </c>
      <c r="S77" t="s">
        <v>41</v>
      </c>
      <c r="T77">
        <v>2500</v>
      </c>
      <c r="U77">
        <v>2.9</v>
      </c>
      <c r="V77">
        <v>1070</v>
      </c>
      <c r="W77">
        <v>8</v>
      </c>
      <c r="X77">
        <v>240</v>
      </c>
      <c r="Y77" t="s">
        <v>42</v>
      </c>
      <c r="Z77" t="s">
        <v>43</v>
      </c>
      <c r="AA77" t="s">
        <v>44</v>
      </c>
      <c r="AB77">
        <v>1</v>
      </c>
      <c r="AC77">
        <v>1</v>
      </c>
      <c r="AE77">
        <v>1</v>
      </c>
    </row>
    <row r="78" spans="1:31" x14ac:dyDescent="0.35">
      <c r="A78" t="s">
        <v>100</v>
      </c>
      <c r="B78" t="s">
        <v>100</v>
      </c>
      <c r="C78" t="s">
        <v>58</v>
      </c>
      <c r="D78" t="s">
        <v>33</v>
      </c>
      <c r="E78" t="s">
        <v>34</v>
      </c>
      <c r="F78" s="2">
        <v>6.6721423682409302</v>
      </c>
      <c r="G78">
        <v>25</v>
      </c>
      <c r="H78">
        <v>30</v>
      </c>
      <c r="I78">
        <v>1533</v>
      </c>
      <c r="J78" t="s">
        <v>35</v>
      </c>
      <c r="K78" t="s">
        <v>36</v>
      </c>
      <c r="L78">
        <v>67064</v>
      </c>
      <c r="M78">
        <v>6.7</v>
      </c>
      <c r="N78" t="s">
        <v>58</v>
      </c>
      <c r="O78" s="1">
        <v>2.7857631759069901E-2</v>
      </c>
      <c r="P78" t="s">
        <v>59</v>
      </c>
      <c r="Q78" t="s">
        <v>39</v>
      </c>
      <c r="R78" t="s">
        <v>48</v>
      </c>
      <c r="S78" t="s">
        <v>41</v>
      </c>
      <c r="T78">
        <v>2500</v>
      </c>
      <c r="U78">
        <v>2.9</v>
      </c>
      <c r="V78">
        <v>1070</v>
      </c>
      <c r="W78">
        <v>8</v>
      </c>
      <c r="X78">
        <v>240</v>
      </c>
      <c r="Y78" t="s">
        <v>42</v>
      </c>
      <c r="Z78" t="s">
        <v>43</v>
      </c>
      <c r="AA78" t="s">
        <v>44</v>
      </c>
      <c r="AB78">
        <v>1</v>
      </c>
      <c r="AC78">
        <v>1</v>
      </c>
      <c r="AE78">
        <v>1</v>
      </c>
    </row>
    <row r="79" spans="1:31" x14ac:dyDescent="0.35">
      <c r="A79" t="s">
        <v>101</v>
      </c>
      <c r="B79" t="s">
        <v>101</v>
      </c>
      <c r="C79" t="s">
        <v>58</v>
      </c>
      <c r="D79" t="s">
        <v>33</v>
      </c>
      <c r="E79" t="s">
        <v>34</v>
      </c>
      <c r="F79" s="2">
        <v>9.8000000000000007</v>
      </c>
      <c r="G79">
        <v>0</v>
      </c>
      <c r="H79">
        <v>22</v>
      </c>
      <c r="I79">
        <v>2426</v>
      </c>
      <c r="J79" t="s">
        <v>35</v>
      </c>
      <c r="K79" t="s">
        <v>36</v>
      </c>
      <c r="L79">
        <v>67064</v>
      </c>
      <c r="M79">
        <v>9.8000000000000007</v>
      </c>
      <c r="N79" t="s">
        <v>58</v>
      </c>
      <c r="O79">
        <v>0</v>
      </c>
      <c r="P79" t="s">
        <v>59</v>
      </c>
      <c r="Q79" t="s">
        <v>39</v>
      </c>
      <c r="R79" t="s">
        <v>48</v>
      </c>
      <c r="S79" t="s">
        <v>41</v>
      </c>
      <c r="T79">
        <v>2500</v>
      </c>
      <c r="U79">
        <v>2.9</v>
      </c>
      <c r="V79">
        <v>1070</v>
      </c>
      <c r="W79">
        <v>8</v>
      </c>
      <c r="X79">
        <v>240</v>
      </c>
      <c r="Y79" t="s">
        <v>42</v>
      </c>
      <c r="Z79" t="s">
        <v>43</v>
      </c>
      <c r="AA79" t="s">
        <v>44</v>
      </c>
      <c r="AB79">
        <v>1</v>
      </c>
      <c r="AC79">
        <v>1</v>
      </c>
      <c r="AE79">
        <v>1</v>
      </c>
    </row>
    <row r="80" spans="1:31" x14ac:dyDescent="0.35">
      <c r="A80" t="s">
        <v>102</v>
      </c>
      <c r="B80" t="s">
        <v>102</v>
      </c>
      <c r="C80" t="s">
        <v>58</v>
      </c>
      <c r="D80" t="s">
        <v>33</v>
      </c>
      <c r="E80" t="s">
        <v>34</v>
      </c>
      <c r="F80" s="2">
        <v>8.5475701574264207</v>
      </c>
      <c r="G80">
        <v>30</v>
      </c>
      <c r="H80">
        <v>24</v>
      </c>
      <c r="I80">
        <v>1656</v>
      </c>
      <c r="J80" t="s">
        <v>35</v>
      </c>
      <c r="K80" t="s">
        <v>36</v>
      </c>
      <c r="L80">
        <v>67064</v>
      </c>
      <c r="M80">
        <v>8.5</v>
      </c>
      <c r="N80" t="s">
        <v>58</v>
      </c>
      <c r="O80">
        <v>4.7570157426420602E-2</v>
      </c>
      <c r="P80" t="s">
        <v>59</v>
      </c>
      <c r="Q80" t="s">
        <v>39</v>
      </c>
      <c r="R80" t="s">
        <v>48</v>
      </c>
      <c r="S80" t="s">
        <v>41</v>
      </c>
      <c r="T80">
        <v>2500</v>
      </c>
      <c r="U80">
        <v>2.9</v>
      </c>
      <c r="V80">
        <v>1070</v>
      </c>
      <c r="W80">
        <v>8</v>
      </c>
      <c r="X80">
        <v>240</v>
      </c>
      <c r="Y80" t="s">
        <v>42</v>
      </c>
      <c r="Z80" t="s">
        <v>43</v>
      </c>
      <c r="AA80" t="s">
        <v>44</v>
      </c>
      <c r="AB80">
        <v>1</v>
      </c>
      <c r="AC80">
        <v>1</v>
      </c>
      <c r="AE80">
        <v>1</v>
      </c>
    </row>
    <row r="81" spans="1:31" x14ac:dyDescent="0.35">
      <c r="A81" t="s">
        <v>107</v>
      </c>
      <c r="B81" t="s">
        <v>107</v>
      </c>
      <c r="C81" t="s">
        <v>58</v>
      </c>
      <c r="D81" t="s">
        <v>33</v>
      </c>
      <c r="E81" t="s">
        <v>34</v>
      </c>
      <c r="F81" s="2">
        <v>7.7097878165639999</v>
      </c>
      <c r="G81">
        <v>30</v>
      </c>
      <c r="H81">
        <v>22</v>
      </c>
      <c r="I81">
        <v>1060</v>
      </c>
      <c r="J81" t="s">
        <v>35</v>
      </c>
      <c r="K81" t="s">
        <v>36</v>
      </c>
      <c r="L81">
        <v>67064</v>
      </c>
      <c r="M81">
        <v>7.7</v>
      </c>
      <c r="N81" t="s">
        <v>58</v>
      </c>
      <c r="O81">
        <v>9.7878165639997405E-3</v>
      </c>
      <c r="P81" t="s">
        <v>59</v>
      </c>
      <c r="Q81" t="s">
        <v>39</v>
      </c>
      <c r="R81" t="s">
        <v>108</v>
      </c>
      <c r="S81" t="s">
        <v>41</v>
      </c>
      <c r="T81">
        <v>2500</v>
      </c>
      <c r="U81">
        <v>2.9</v>
      </c>
      <c r="V81">
        <v>1070</v>
      </c>
      <c r="W81">
        <v>8</v>
      </c>
      <c r="X81">
        <v>240</v>
      </c>
      <c r="Y81" t="s">
        <v>42</v>
      </c>
      <c r="Z81" t="s">
        <v>43</v>
      </c>
      <c r="AA81" t="s">
        <v>44</v>
      </c>
      <c r="AB81">
        <v>1</v>
      </c>
      <c r="AC81">
        <v>1</v>
      </c>
      <c r="AE81">
        <v>1</v>
      </c>
    </row>
    <row r="82" spans="1:31" x14ac:dyDescent="0.35">
      <c r="A82" t="s">
        <v>109</v>
      </c>
      <c r="B82" t="s">
        <v>109</v>
      </c>
      <c r="C82" t="s">
        <v>58</v>
      </c>
      <c r="D82" t="s">
        <v>33</v>
      </c>
      <c r="E82" t="s">
        <v>34</v>
      </c>
      <c r="F82" s="2">
        <v>10.8829568788501</v>
      </c>
      <c r="G82">
        <v>0</v>
      </c>
      <c r="H82">
        <v>11</v>
      </c>
      <c r="I82">
        <v>1921</v>
      </c>
      <c r="J82" t="s">
        <v>35</v>
      </c>
      <c r="K82" t="s">
        <v>36</v>
      </c>
      <c r="L82">
        <v>67064</v>
      </c>
      <c r="M82">
        <v>10.9</v>
      </c>
      <c r="N82" t="s">
        <v>58</v>
      </c>
      <c r="O82">
        <v>1.70431211499E-2</v>
      </c>
      <c r="P82" t="s">
        <v>59</v>
      </c>
      <c r="Q82" t="s">
        <v>39</v>
      </c>
      <c r="R82" t="s">
        <v>48</v>
      </c>
      <c r="S82" t="s">
        <v>41</v>
      </c>
      <c r="T82">
        <v>2500</v>
      </c>
      <c r="U82">
        <v>2.9</v>
      </c>
      <c r="V82">
        <v>1070</v>
      </c>
      <c r="W82">
        <v>8</v>
      </c>
      <c r="X82">
        <v>240</v>
      </c>
      <c r="Y82" t="s">
        <v>42</v>
      </c>
      <c r="Z82" t="s">
        <v>43</v>
      </c>
      <c r="AA82" t="s">
        <v>44</v>
      </c>
      <c r="AB82">
        <v>1</v>
      </c>
      <c r="AC82">
        <v>1</v>
      </c>
      <c r="AE82">
        <v>1</v>
      </c>
    </row>
    <row r="83" spans="1:31" x14ac:dyDescent="0.35">
      <c r="A83" t="s">
        <v>110</v>
      </c>
      <c r="B83" t="s">
        <v>110</v>
      </c>
      <c r="C83" t="s">
        <v>58</v>
      </c>
      <c r="D83" t="s">
        <v>33</v>
      </c>
      <c r="E83" t="s">
        <v>34</v>
      </c>
      <c r="F83" s="2">
        <v>6.8117727583846701</v>
      </c>
      <c r="G83">
        <v>30</v>
      </c>
      <c r="H83">
        <v>26</v>
      </c>
      <c r="I83">
        <v>1672</v>
      </c>
      <c r="J83" t="s">
        <v>35</v>
      </c>
      <c r="K83" t="s">
        <v>36</v>
      </c>
      <c r="L83">
        <v>67064</v>
      </c>
      <c r="M83">
        <v>6.8</v>
      </c>
      <c r="N83" t="s">
        <v>58</v>
      </c>
      <c r="O83">
        <v>1.17727583846702E-2</v>
      </c>
      <c r="P83" t="s">
        <v>59</v>
      </c>
      <c r="Q83" t="s">
        <v>39</v>
      </c>
      <c r="R83" t="s">
        <v>48</v>
      </c>
      <c r="S83" t="s">
        <v>41</v>
      </c>
      <c r="T83">
        <v>2500</v>
      </c>
      <c r="U83">
        <v>2.9</v>
      </c>
      <c r="V83">
        <v>1070</v>
      </c>
      <c r="W83">
        <v>8</v>
      </c>
      <c r="X83">
        <v>240</v>
      </c>
      <c r="Y83" t="s">
        <v>42</v>
      </c>
      <c r="Z83" t="s">
        <v>43</v>
      </c>
      <c r="AA83" t="s">
        <v>44</v>
      </c>
      <c r="AB83">
        <v>1</v>
      </c>
      <c r="AC83">
        <v>1</v>
      </c>
      <c r="AE83">
        <v>1</v>
      </c>
    </row>
    <row r="84" spans="1:31" x14ac:dyDescent="0.35">
      <c r="A84" t="s">
        <v>116</v>
      </c>
      <c r="B84" t="s">
        <v>116</v>
      </c>
      <c r="C84" t="s">
        <v>58</v>
      </c>
      <c r="D84" t="s">
        <v>33</v>
      </c>
      <c r="E84" t="s">
        <v>34</v>
      </c>
      <c r="F84" s="2">
        <v>10.984257357974</v>
      </c>
      <c r="G84">
        <v>5</v>
      </c>
      <c r="H84">
        <v>29</v>
      </c>
      <c r="I84">
        <v>1767</v>
      </c>
      <c r="J84" t="s">
        <v>35</v>
      </c>
      <c r="K84" t="s">
        <v>36</v>
      </c>
      <c r="L84">
        <v>67064</v>
      </c>
      <c r="M84">
        <v>11</v>
      </c>
      <c r="N84" t="s">
        <v>58</v>
      </c>
      <c r="O84" s="1">
        <v>1.5742642025999801E-2</v>
      </c>
      <c r="P84" t="s">
        <v>59</v>
      </c>
      <c r="Q84" t="s">
        <v>39</v>
      </c>
      <c r="R84" t="s">
        <v>48</v>
      </c>
      <c r="S84" t="s">
        <v>41</v>
      </c>
      <c r="T84">
        <v>2500</v>
      </c>
      <c r="U84">
        <v>2.9</v>
      </c>
      <c r="V84">
        <v>1070</v>
      </c>
      <c r="W84">
        <v>8</v>
      </c>
      <c r="X84">
        <v>240</v>
      </c>
      <c r="Y84" t="s">
        <v>42</v>
      </c>
      <c r="Z84" t="s">
        <v>43</v>
      </c>
      <c r="AA84" t="s">
        <v>44</v>
      </c>
      <c r="AB84">
        <v>1</v>
      </c>
      <c r="AC84">
        <v>1</v>
      </c>
      <c r="AE84">
        <v>1</v>
      </c>
    </row>
    <row r="85" spans="1:31" x14ac:dyDescent="0.35">
      <c r="A85" t="s">
        <v>121</v>
      </c>
      <c r="B85" t="s">
        <v>121</v>
      </c>
      <c r="C85" t="s">
        <v>58</v>
      </c>
      <c r="D85" t="s">
        <v>33</v>
      </c>
      <c r="E85" t="s">
        <v>34</v>
      </c>
      <c r="F85" s="2">
        <v>6.5270362765229297</v>
      </c>
      <c r="G85">
        <v>30</v>
      </c>
      <c r="H85">
        <v>24</v>
      </c>
      <c r="I85">
        <v>1076</v>
      </c>
      <c r="J85" t="s">
        <v>35</v>
      </c>
      <c r="K85" t="s">
        <v>36</v>
      </c>
      <c r="L85">
        <v>67064</v>
      </c>
      <c r="M85">
        <v>6.5</v>
      </c>
      <c r="N85" t="s">
        <v>58</v>
      </c>
      <c r="O85" s="1">
        <v>2.7036276522929701E-2</v>
      </c>
      <c r="P85" t="s">
        <v>59</v>
      </c>
      <c r="Q85" t="s">
        <v>39</v>
      </c>
      <c r="R85" t="s">
        <v>40</v>
      </c>
      <c r="S85" t="s">
        <v>41</v>
      </c>
      <c r="T85">
        <v>2500</v>
      </c>
      <c r="U85">
        <v>2.9</v>
      </c>
      <c r="V85">
        <v>1070</v>
      </c>
      <c r="W85">
        <v>8</v>
      </c>
      <c r="X85">
        <v>240</v>
      </c>
      <c r="Y85" t="s">
        <v>42</v>
      </c>
      <c r="Z85" t="s">
        <v>43</v>
      </c>
      <c r="AA85" t="s">
        <v>44</v>
      </c>
      <c r="AB85">
        <v>1</v>
      </c>
      <c r="AC85">
        <v>1</v>
      </c>
      <c r="AE85">
        <v>1</v>
      </c>
    </row>
    <row r="86" spans="1:31" x14ac:dyDescent="0.35">
      <c r="A86" t="s">
        <v>122</v>
      </c>
      <c r="B86" t="s">
        <v>122</v>
      </c>
      <c r="C86" t="s">
        <v>58</v>
      </c>
      <c r="D86" t="s">
        <v>33</v>
      </c>
      <c r="E86" t="s">
        <v>34</v>
      </c>
      <c r="F86" s="2">
        <v>6.5270362765229297</v>
      </c>
      <c r="G86">
        <v>40</v>
      </c>
      <c r="H86">
        <v>25</v>
      </c>
      <c r="I86">
        <v>1091</v>
      </c>
      <c r="J86" t="s">
        <v>35</v>
      </c>
      <c r="K86" t="s">
        <v>36</v>
      </c>
      <c r="L86">
        <v>67064</v>
      </c>
      <c r="M86">
        <v>6.5</v>
      </c>
      <c r="N86" t="s">
        <v>58</v>
      </c>
      <c r="O86" s="1">
        <v>2.7036276522929701E-2</v>
      </c>
      <c r="P86" t="s">
        <v>59</v>
      </c>
      <c r="Q86" t="s">
        <v>39</v>
      </c>
      <c r="R86" t="s">
        <v>40</v>
      </c>
      <c r="S86" t="s">
        <v>41</v>
      </c>
      <c r="T86">
        <v>2500</v>
      </c>
      <c r="U86">
        <v>2.9</v>
      </c>
      <c r="V86">
        <v>1070</v>
      </c>
      <c r="W86">
        <v>8</v>
      </c>
      <c r="X86">
        <v>240</v>
      </c>
      <c r="Y86" t="s">
        <v>42</v>
      </c>
      <c r="Z86" t="s">
        <v>43</v>
      </c>
      <c r="AA86" t="s">
        <v>44</v>
      </c>
      <c r="AB86">
        <v>1</v>
      </c>
      <c r="AC86">
        <v>1</v>
      </c>
      <c r="AE86">
        <v>1</v>
      </c>
    </row>
    <row r="87" spans="1:31" x14ac:dyDescent="0.35">
      <c r="A87" t="s">
        <v>123</v>
      </c>
      <c r="B87" t="s">
        <v>123</v>
      </c>
      <c r="C87" t="s">
        <v>58</v>
      </c>
      <c r="D87" t="s">
        <v>33</v>
      </c>
      <c r="E87" t="s">
        <v>34</v>
      </c>
      <c r="F87" s="2">
        <v>5.9</v>
      </c>
      <c r="G87">
        <v>0</v>
      </c>
      <c r="H87">
        <v>22</v>
      </c>
      <c r="I87">
        <v>572</v>
      </c>
      <c r="J87" t="s">
        <v>35</v>
      </c>
      <c r="K87" t="s">
        <v>36</v>
      </c>
      <c r="L87">
        <v>67064</v>
      </c>
      <c r="M87">
        <v>5.9</v>
      </c>
      <c r="N87" t="s">
        <v>58</v>
      </c>
      <c r="O87">
        <v>0</v>
      </c>
      <c r="P87" t="s">
        <v>59</v>
      </c>
      <c r="Q87" t="s">
        <v>39</v>
      </c>
      <c r="R87" t="s">
        <v>40</v>
      </c>
      <c r="S87" t="s">
        <v>41</v>
      </c>
      <c r="T87">
        <v>2500</v>
      </c>
      <c r="U87">
        <v>2.9</v>
      </c>
      <c r="V87">
        <v>1070</v>
      </c>
      <c r="W87">
        <v>8</v>
      </c>
      <c r="X87">
        <v>240</v>
      </c>
      <c r="Y87" t="s">
        <v>42</v>
      </c>
      <c r="Z87" t="s">
        <v>43</v>
      </c>
      <c r="AA87" t="s">
        <v>44</v>
      </c>
      <c r="AB87">
        <v>1</v>
      </c>
      <c r="AC87">
        <v>1</v>
      </c>
      <c r="AE87">
        <v>1</v>
      </c>
    </row>
    <row r="88" spans="1:31" x14ac:dyDescent="0.35">
      <c r="A88" t="s">
        <v>124</v>
      </c>
      <c r="B88" t="s">
        <v>124</v>
      </c>
      <c r="C88" t="s">
        <v>58</v>
      </c>
      <c r="D88" t="s">
        <v>33</v>
      </c>
      <c r="E88" t="s">
        <v>34</v>
      </c>
      <c r="F88" s="2">
        <v>5.7768651608487298</v>
      </c>
      <c r="G88">
        <v>10</v>
      </c>
      <c r="H88">
        <v>15</v>
      </c>
      <c r="I88">
        <v>1377</v>
      </c>
      <c r="J88" t="s">
        <v>35</v>
      </c>
      <c r="K88" t="s">
        <v>36</v>
      </c>
      <c r="L88">
        <v>67064</v>
      </c>
      <c r="M88">
        <v>5.8</v>
      </c>
      <c r="N88" t="s">
        <v>58</v>
      </c>
      <c r="O88" s="1">
        <v>2.3134839151270001E-2</v>
      </c>
      <c r="P88" t="s">
        <v>59</v>
      </c>
      <c r="Q88" t="s">
        <v>39</v>
      </c>
      <c r="R88" t="s">
        <v>40</v>
      </c>
      <c r="S88" t="s">
        <v>41</v>
      </c>
      <c r="T88">
        <v>2500</v>
      </c>
      <c r="U88">
        <v>2.9</v>
      </c>
      <c r="V88">
        <v>1070</v>
      </c>
      <c r="W88">
        <v>8</v>
      </c>
      <c r="X88">
        <v>240</v>
      </c>
      <c r="Y88" t="s">
        <v>42</v>
      </c>
      <c r="Z88" t="s">
        <v>43</v>
      </c>
      <c r="AA88" t="s">
        <v>44</v>
      </c>
      <c r="AB88">
        <v>1</v>
      </c>
      <c r="AC88">
        <v>1</v>
      </c>
      <c r="AE88">
        <v>1</v>
      </c>
    </row>
    <row r="89" spans="1:31" x14ac:dyDescent="0.35">
      <c r="A89" t="s">
        <v>127</v>
      </c>
      <c r="B89" t="s">
        <v>127</v>
      </c>
      <c r="C89" t="s">
        <v>58</v>
      </c>
      <c r="D89" t="s">
        <v>33</v>
      </c>
      <c r="E89" t="s">
        <v>34</v>
      </c>
      <c r="F89" s="2">
        <v>8.5174537987679706</v>
      </c>
      <c r="G89">
        <v>5</v>
      </c>
      <c r="H89">
        <v>18</v>
      </c>
      <c r="I89">
        <v>2064</v>
      </c>
      <c r="J89" t="s">
        <v>35</v>
      </c>
      <c r="K89" t="s">
        <v>36</v>
      </c>
      <c r="L89">
        <v>67064</v>
      </c>
      <c r="M89">
        <v>8.5</v>
      </c>
      <c r="N89" t="s">
        <v>58</v>
      </c>
      <c r="O89" s="1">
        <v>1.7453798767970499E-2</v>
      </c>
      <c r="P89" t="s">
        <v>59</v>
      </c>
      <c r="Q89" t="s">
        <v>39</v>
      </c>
      <c r="R89" t="s">
        <v>40</v>
      </c>
      <c r="S89" t="s">
        <v>41</v>
      </c>
      <c r="T89">
        <v>2500</v>
      </c>
      <c r="U89">
        <v>2.9</v>
      </c>
      <c r="V89">
        <v>1070</v>
      </c>
      <c r="W89">
        <v>8</v>
      </c>
      <c r="X89">
        <v>240</v>
      </c>
      <c r="Y89" t="s">
        <v>42</v>
      </c>
      <c r="Z89" t="s">
        <v>43</v>
      </c>
      <c r="AA89" t="s">
        <v>44</v>
      </c>
      <c r="AB89">
        <v>1</v>
      </c>
      <c r="AC89">
        <v>1</v>
      </c>
      <c r="AE89">
        <v>1</v>
      </c>
    </row>
    <row r="90" spans="1:31" x14ac:dyDescent="0.35">
      <c r="A90" t="s">
        <v>131</v>
      </c>
      <c r="B90" t="s">
        <v>131</v>
      </c>
      <c r="C90" t="s">
        <v>58</v>
      </c>
      <c r="D90" t="s">
        <v>33</v>
      </c>
      <c r="E90" t="s">
        <v>34</v>
      </c>
      <c r="F90" s="2">
        <v>5.14989733059548</v>
      </c>
      <c r="G90">
        <v>0</v>
      </c>
      <c r="H90">
        <v>12</v>
      </c>
      <c r="I90">
        <v>569</v>
      </c>
      <c r="J90" t="s">
        <v>35</v>
      </c>
      <c r="K90" t="s">
        <v>36</v>
      </c>
      <c r="L90">
        <v>67064</v>
      </c>
      <c r="M90">
        <v>5.0999999999999996</v>
      </c>
      <c r="N90" t="s">
        <v>58</v>
      </c>
      <c r="O90" s="1">
        <v>4.9897330595480398E-2</v>
      </c>
      <c r="P90" t="s">
        <v>59</v>
      </c>
      <c r="Q90" t="s">
        <v>39</v>
      </c>
      <c r="R90" t="s">
        <v>40</v>
      </c>
      <c r="S90" t="s">
        <v>41</v>
      </c>
      <c r="T90">
        <v>2500</v>
      </c>
      <c r="U90">
        <v>2.9</v>
      </c>
      <c r="V90">
        <v>1070</v>
      </c>
      <c r="W90">
        <v>8</v>
      </c>
      <c r="X90">
        <v>240</v>
      </c>
      <c r="Y90" t="s">
        <v>42</v>
      </c>
      <c r="Z90" t="s">
        <v>43</v>
      </c>
      <c r="AA90" t="s">
        <v>44</v>
      </c>
      <c r="AB90">
        <v>1</v>
      </c>
      <c r="AC90">
        <v>1</v>
      </c>
      <c r="AE90">
        <v>1</v>
      </c>
    </row>
    <row r="91" spans="1:31" x14ac:dyDescent="0.35">
      <c r="A91" t="s">
        <v>135</v>
      </c>
      <c r="B91" t="s">
        <v>135</v>
      </c>
      <c r="C91" t="s">
        <v>58</v>
      </c>
      <c r="D91" t="s">
        <v>33</v>
      </c>
      <c r="E91" t="s">
        <v>34</v>
      </c>
      <c r="F91" s="2">
        <v>9.3141683778234103</v>
      </c>
      <c r="G91">
        <v>10</v>
      </c>
      <c r="H91">
        <v>23</v>
      </c>
      <c r="I91">
        <v>1973</v>
      </c>
      <c r="J91" t="s">
        <v>35</v>
      </c>
      <c r="K91" t="s">
        <v>36</v>
      </c>
      <c r="L91">
        <v>67064</v>
      </c>
      <c r="M91">
        <v>9.3000000000000007</v>
      </c>
      <c r="N91" t="s">
        <v>58</v>
      </c>
      <c r="O91" s="1">
        <v>1.41683778234096E-2</v>
      </c>
      <c r="P91" t="s">
        <v>59</v>
      </c>
      <c r="Q91" t="s">
        <v>39</v>
      </c>
      <c r="R91" t="s">
        <v>40</v>
      </c>
      <c r="S91" t="s">
        <v>41</v>
      </c>
      <c r="T91">
        <v>2500</v>
      </c>
      <c r="U91">
        <v>2.9</v>
      </c>
      <c r="V91">
        <v>1070</v>
      </c>
      <c r="W91">
        <v>8</v>
      </c>
      <c r="X91">
        <v>240</v>
      </c>
      <c r="Y91" t="s">
        <v>42</v>
      </c>
      <c r="Z91" t="s">
        <v>43</v>
      </c>
      <c r="AA91" t="s">
        <v>44</v>
      </c>
      <c r="AB91">
        <v>1</v>
      </c>
      <c r="AC91">
        <v>1</v>
      </c>
      <c r="AE91">
        <v>1</v>
      </c>
    </row>
    <row r="92" spans="1:31" x14ac:dyDescent="0.35">
      <c r="A92" t="s">
        <v>138</v>
      </c>
      <c r="B92" t="s">
        <v>138</v>
      </c>
      <c r="C92" t="s">
        <v>58</v>
      </c>
      <c r="D92" t="s">
        <v>33</v>
      </c>
      <c r="E92" t="s">
        <v>34</v>
      </c>
      <c r="F92" s="2">
        <v>6.1108829568788501</v>
      </c>
      <c r="G92">
        <v>0</v>
      </c>
      <c r="H92">
        <v>16</v>
      </c>
      <c r="I92">
        <v>1678</v>
      </c>
      <c r="J92" t="s">
        <v>35</v>
      </c>
      <c r="K92" t="s">
        <v>36</v>
      </c>
      <c r="L92">
        <v>67064</v>
      </c>
      <c r="M92">
        <v>6.1</v>
      </c>
      <c r="N92" t="s">
        <v>58</v>
      </c>
      <c r="O92" s="1">
        <v>1.08829568788504E-2</v>
      </c>
      <c r="P92" t="s">
        <v>59</v>
      </c>
      <c r="Q92" t="s">
        <v>39</v>
      </c>
      <c r="R92" t="s">
        <v>40</v>
      </c>
      <c r="S92" t="s">
        <v>41</v>
      </c>
      <c r="T92">
        <v>2500</v>
      </c>
      <c r="U92">
        <v>2.9</v>
      </c>
      <c r="V92">
        <v>1070</v>
      </c>
      <c r="W92">
        <v>8</v>
      </c>
      <c r="X92">
        <v>240</v>
      </c>
      <c r="Y92" t="s">
        <v>42</v>
      </c>
      <c r="Z92" t="s">
        <v>43</v>
      </c>
      <c r="AA92" t="s">
        <v>44</v>
      </c>
      <c r="AB92">
        <v>1</v>
      </c>
      <c r="AC92">
        <v>1</v>
      </c>
      <c r="AE92">
        <v>1</v>
      </c>
    </row>
    <row r="93" spans="1:31" x14ac:dyDescent="0.35">
      <c r="A93" t="s">
        <v>142</v>
      </c>
      <c r="B93" t="s">
        <v>142</v>
      </c>
      <c r="C93" t="s">
        <v>58</v>
      </c>
      <c r="D93" t="s">
        <v>33</v>
      </c>
      <c r="E93" t="s">
        <v>34</v>
      </c>
      <c r="F93" s="2">
        <v>8.8815879534565401</v>
      </c>
      <c r="G93">
        <v>10</v>
      </c>
      <c r="H93">
        <v>22</v>
      </c>
      <c r="I93">
        <v>971</v>
      </c>
      <c r="J93" t="s">
        <v>35</v>
      </c>
      <c r="K93" t="s">
        <v>36</v>
      </c>
      <c r="L93">
        <v>67064</v>
      </c>
      <c r="M93">
        <v>8.9</v>
      </c>
      <c r="N93" t="s">
        <v>58</v>
      </c>
      <c r="O93" s="1">
        <v>1.8412046543460198E-2</v>
      </c>
      <c r="P93" t="s">
        <v>59</v>
      </c>
      <c r="Q93" t="s">
        <v>39</v>
      </c>
      <c r="R93" t="s">
        <v>40</v>
      </c>
      <c r="S93" t="s">
        <v>41</v>
      </c>
      <c r="T93">
        <v>2500</v>
      </c>
      <c r="U93">
        <v>2.9</v>
      </c>
      <c r="V93">
        <v>1070</v>
      </c>
      <c r="W93">
        <v>8</v>
      </c>
      <c r="X93">
        <v>240</v>
      </c>
      <c r="Y93" t="s">
        <v>42</v>
      </c>
      <c r="Z93" t="s">
        <v>43</v>
      </c>
      <c r="AA93" t="s">
        <v>44</v>
      </c>
      <c r="AB93">
        <v>1</v>
      </c>
      <c r="AC93">
        <v>1</v>
      </c>
      <c r="AE93">
        <v>1</v>
      </c>
    </row>
    <row r="94" spans="1:31" x14ac:dyDescent="0.35">
      <c r="A94" t="s">
        <v>147</v>
      </c>
      <c r="B94" t="s">
        <v>147</v>
      </c>
      <c r="C94" t="s">
        <v>58</v>
      </c>
      <c r="D94" t="s">
        <v>33</v>
      </c>
      <c r="E94" t="s">
        <v>51</v>
      </c>
      <c r="F94" s="2">
        <v>10.652977412731</v>
      </c>
      <c r="G94">
        <v>10</v>
      </c>
      <c r="H94">
        <v>19</v>
      </c>
      <c r="I94">
        <v>931</v>
      </c>
      <c r="J94" t="s">
        <v>35</v>
      </c>
      <c r="K94" t="s">
        <v>36</v>
      </c>
      <c r="L94">
        <v>67064</v>
      </c>
      <c r="M94">
        <v>10.7</v>
      </c>
      <c r="N94" t="s">
        <v>58</v>
      </c>
      <c r="O94">
        <v>4.7022587268999702E-2</v>
      </c>
      <c r="P94" t="s">
        <v>59</v>
      </c>
      <c r="Q94" t="s">
        <v>39</v>
      </c>
      <c r="R94" t="s">
        <v>40</v>
      </c>
      <c r="S94" t="s">
        <v>41</v>
      </c>
      <c r="T94">
        <v>2500</v>
      </c>
      <c r="U94">
        <v>2.9</v>
      </c>
      <c r="V94">
        <v>1070</v>
      </c>
      <c r="W94">
        <v>8</v>
      </c>
      <c r="X94">
        <v>240</v>
      </c>
      <c r="Y94" t="s">
        <v>42</v>
      </c>
      <c r="Z94" t="s">
        <v>43</v>
      </c>
      <c r="AA94" t="s">
        <v>44</v>
      </c>
      <c r="AB94">
        <v>1</v>
      </c>
      <c r="AC94">
        <v>1</v>
      </c>
      <c r="AE94">
        <v>1</v>
      </c>
    </row>
    <row r="95" spans="1:31" x14ac:dyDescent="0.35">
      <c r="A95" t="s">
        <v>148</v>
      </c>
      <c r="B95" t="s">
        <v>148</v>
      </c>
      <c r="C95" t="s">
        <v>58</v>
      </c>
      <c r="D95" t="s">
        <v>33</v>
      </c>
      <c r="E95" t="s">
        <v>34</v>
      </c>
      <c r="F95" s="2">
        <v>8.1670088980150606</v>
      </c>
      <c r="G95">
        <v>25</v>
      </c>
      <c r="H95">
        <v>25</v>
      </c>
      <c r="I95">
        <v>2983</v>
      </c>
      <c r="J95" t="s">
        <v>35</v>
      </c>
      <c r="K95" t="s">
        <v>36</v>
      </c>
      <c r="L95">
        <v>67064</v>
      </c>
      <c r="M95">
        <v>8.1999999999999993</v>
      </c>
      <c r="N95" t="s">
        <v>58</v>
      </c>
      <c r="O95">
        <v>3.2991101984938702E-2</v>
      </c>
      <c r="P95" t="s">
        <v>59</v>
      </c>
      <c r="Q95" t="s">
        <v>39</v>
      </c>
      <c r="R95" t="s">
        <v>40</v>
      </c>
      <c r="S95" t="s">
        <v>41</v>
      </c>
      <c r="T95">
        <v>2500</v>
      </c>
      <c r="U95">
        <v>2.9</v>
      </c>
      <c r="V95">
        <v>1070</v>
      </c>
      <c r="W95">
        <v>8</v>
      </c>
      <c r="X95">
        <v>240</v>
      </c>
      <c r="Y95" t="s">
        <v>42</v>
      </c>
      <c r="Z95" t="s">
        <v>43</v>
      </c>
      <c r="AA95" t="s">
        <v>44</v>
      </c>
      <c r="AB95">
        <v>1</v>
      </c>
      <c r="AC95">
        <v>1</v>
      </c>
      <c r="AE95">
        <v>1</v>
      </c>
    </row>
    <row r="96" spans="1:31" x14ac:dyDescent="0.35">
      <c r="A96" t="s">
        <v>149</v>
      </c>
      <c r="B96" t="s">
        <v>149</v>
      </c>
      <c r="C96" t="s">
        <v>58</v>
      </c>
      <c r="D96" t="s">
        <v>33</v>
      </c>
      <c r="E96" t="s">
        <v>34</v>
      </c>
      <c r="F96" s="2">
        <v>9.0239561943874094</v>
      </c>
      <c r="G96">
        <v>30</v>
      </c>
      <c r="H96">
        <v>30</v>
      </c>
      <c r="I96">
        <v>2019</v>
      </c>
      <c r="J96" t="s">
        <v>35</v>
      </c>
      <c r="K96" t="s">
        <v>36</v>
      </c>
      <c r="L96">
        <v>67064</v>
      </c>
      <c r="M96">
        <v>9</v>
      </c>
      <c r="N96" t="s">
        <v>58</v>
      </c>
      <c r="O96">
        <v>2.3956194387409299E-2</v>
      </c>
      <c r="P96" t="s">
        <v>59</v>
      </c>
      <c r="Q96" t="s">
        <v>39</v>
      </c>
      <c r="R96" t="s">
        <v>40</v>
      </c>
      <c r="S96" t="s">
        <v>41</v>
      </c>
      <c r="T96">
        <v>2500</v>
      </c>
      <c r="U96">
        <v>2.9</v>
      </c>
      <c r="V96">
        <v>1070</v>
      </c>
      <c r="W96">
        <v>8</v>
      </c>
      <c r="X96">
        <v>240</v>
      </c>
      <c r="Y96" t="s">
        <v>42</v>
      </c>
      <c r="Z96" t="s">
        <v>43</v>
      </c>
      <c r="AA96" t="s">
        <v>44</v>
      </c>
      <c r="AB96">
        <v>1</v>
      </c>
      <c r="AC96">
        <v>1</v>
      </c>
      <c r="AE96">
        <v>1</v>
      </c>
    </row>
    <row r="97" spans="1:31" x14ac:dyDescent="0.35">
      <c r="A97" t="s">
        <v>150</v>
      </c>
      <c r="B97" t="s">
        <v>150</v>
      </c>
      <c r="C97" t="s">
        <v>58</v>
      </c>
      <c r="D97" t="s">
        <v>33</v>
      </c>
      <c r="E97" t="s">
        <v>34</v>
      </c>
      <c r="F97" s="2">
        <v>9.9904175222450409</v>
      </c>
      <c r="G97">
        <v>0</v>
      </c>
      <c r="H97">
        <v>26</v>
      </c>
      <c r="I97">
        <v>2554</v>
      </c>
      <c r="J97" t="s">
        <v>35</v>
      </c>
      <c r="K97" t="s">
        <v>36</v>
      </c>
      <c r="L97">
        <v>67064</v>
      </c>
      <c r="M97">
        <v>10</v>
      </c>
      <c r="N97" t="s">
        <v>58</v>
      </c>
      <c r="O97">
        <v>9.5824777549591202E-3</v>
      </c>
      <c r="P97" t="s">
        <v>59</v>
      </c>
      <c r="Q97" t="s">
        <v>39</v>
      </c>
      <c r="R97" t="s">
        <v>40</v>
      </c>
      <c r="S97" t="s">
        <v>41</v>
      </c>
      <c r="T97">
        <v>2500</v>
      </c>
      <c r="U97">
        <v>2.9</v>
      </c>
      <c r="V97">
        <v>1070</v>
      </c>
      <c r="W97">
        <v>8</v>
      </c>
      <c r="X97">
        <v>240</v>
      </c>
      <c r="Y97" t="s">
        <v>42</v>
      </c>
      <c r="Z97" t="s">
        <v>43</v>
      </c>
      <c r="AA97" t="s">
        <v>44</v>
      </c>
      <c r="AB97">
        <v>1</v>
      </c>
      <c r="AC97">
        <v>1</v>
      </c>
      <c r="AE97">
        <v>1</v>
      </c>
    </row>
    <row r="98" spans="1:31" x14ac:dyDescent="0.35">
      <c r="A98" t="s">
        <v>151</v>
      </c>
      <c r="B98" t="s">
        <v>151</v>
      </c>
      <c r="C98" t="s">
        <v>58</v>
      </c>
      <c r="D98" t="s">
        <v>33</v>
      </c>
      <c r="E98" t="s">
        <v>51</v>
      </c>
      <c r="F98" s="2">
        <v>9.4565366187542796</v>
      </c>
      <c r="G98">
        <v>0</v>
      </c>
      <c r="H98">
        <v>16</v>
      </c>
      <c r="I98">
        <v>1751</v>
      </c>
      <c r="J98" t="s">
        <v>35</v>
      </c>
      <c r="K98" t="s">
        <v>36</v>
      </c>
      <c r="L98">
        <v>67064</v>
      </c>
      <c r="M98">
        <v>9.5</v>
      </c>
      <c r="N98" t="s">
        <v>58</v>
      </c>
      <c r="O98" s="1">
        <v>4.3463381245720301E-2</v>
      </c>
      <c r="P98" t="s">
        <v>59</v>
      </c>
      <c r="Q98" t="s">
        <v>39</v>
      </c>
      <c r="R98" t="s">
        <v>40</v>
      </c>
      <c r="S98" t="s">
        <v>41</v>
      </c>
      <c r="T98">
        <v>2500</v>
      </c>
      <c r="U98">
        <v>2.9</v>
      </c>
      <c r="V98">
        <v>1070</v>
      </c>
      <c r="W98">
        <v>8</v>
      </c>
      <c r="X98">
        <v>240</v>
      </c>
      <c r="Y98" t="s">
        <v>42</v>
      </c>
      <c r="Z98" t="s">
        <v>43</v>
      </c>
      <c r="AA98" t="s">
        <v>44</v>
      </c>
      <c r="AB98">
        <v>1</v>
      </c>
      <c r="AC98">
        <v>1</v>
      </c>
      <c r="AE98">
        <v>1</v>
      </c>
    </row>
    <row r="99" spans="1:31" x14ac:dyDescent="0.35">
      <c r="A99" t="s">
        <v>152</v>
      </c>
      <c r="B99" t="s">
        <v>152</v>
      </c>
      <c r="C99" t="s">
        <v>58</v>
      </c>
      <c r="D99" t="s">
        <v>33</v>
      </c>
      <c r="E99" t="s">
        <v>34</v>
      </c>
      <c r="F99" s="2">
        <v>8.3449691991786406</v>
      </c>
      <c r="G99">
        <v>20</v>
      </c>
      <c r="H99">
        <v>30</v>
      </c>
      <c r="I99">
        <v>940</v>
      </c>
      <c r="J99" t="s">
        <v>35</v>
      </c>
      <c r="K99" t="s">
        <v>36</v>
      </c>
      <c r="L99">
        <v>67064</v>
      </c>
      <c r="M99">
        <v>8.3000000000000007</v>
      </c>
      <c r="N99" t="s">
        <v>58</v>
      </c>
      <c r="O99">
        <v>4.4969199178639799E-2</v>
      </c>
      <c r="P99" t="s">
        <v>59</v>
      </c>
      <c r="Q99" t="s">
        <v>39</v>
      </c>
      <c r="R99" t="s">
        <v>40</v>
      </c>
      <c r="S99" t="s">
        <v>41</v>
      </c>
      <c r="T99">
        <v>2500</v>
      </c>
      <c r="U99">
        <v>2.9</v>
      </c>
      <c r="V99">
        <v>1070</v>
      </c>
      <c r="W99">
        <v>8</v>
      </c>
      <c r="X99">
        <v>240</v>
      </c>
      <c r="Y99" t="s">
        <v>42</v>
      </c>
      <c r="Z99" t="s">
        <v>43</v>
      </c>
      <c r="AA99" t="s">
        <v>44</v>
      </c>
      <c r="AB99">
        <v>1</v>
      </c>
      <c r="AC99">
        <v>1</v>
      </c>
      <c r="AE99">
        <v>1</v>
      </c>
    </row>
    <row r="100" spans="1:31" x14ac:dyDescent="0.35">
      <c r="A100" t="s">
        <v>153</v>
      </c>
      <c r="B100" t="s">
        <v>153</v>
      </c>
      <c r="C100" t="s">
        <v>58</v>
      </c>
      <c r="D100" t="s">
        <v>33</v>
      </c>
      <c r="E100" t="s">
        <v>34</v>
      </c>
      <c r="F100" s="2">
        <v>8.1642710472279294</v>
      </c>
      <c r="G100">
        <v>0</v>
      </c>
      <c r="H100">
        <v>24</v>
      </c>
      <c r="I100">
        <v>2286</v>
      </c>
      <c r="J100" t="s">
        <v>35</v>
      </c>
      <c r="K100" t="s">
        <v>36</v>
      </c>
      <c r="L100">
        <v>67064</v>
      </c>
      <c r="M100">
        <v>8.1999999999999993</v>
      </c>
      <c r="N100" t="s">
        <v>58</v>
      </c>
      <c r="O100">
        <v>3.5728952772069798E-2</v>
      </c>
      <c r="P100" t="s">
        <v>59</v>
      </c>
      <c r="Q100" t="s">
        <v>39</v>
      </c>
      <c r="R100" t="s">
        <v>40</v>
      </c>
      <c r="S100" t="s">
        <v>41</v>
      </c>
      <c r="T100">
        <v>2500</v>
      </c>
      <c r="U100">
        <v>2.9</v>
      </c>
      <c r="V100">
        <v>1070</v>
      </c>
      <c r="W100">
        <v>8</v>
      </c>
      <c r="X100">
        <v>240</v>
      </c>
      <c r="Y100" t="s">
        <v>42</v>
      </c>
      <c r="Z100" t="s">
        <v>43</v>
      </c>
      <c r="AA100" t="s">
        <v>44</v>
      </c>
      <c r="AB100">
        <v>1</v>
      </c>
      <c r="AC100">
        <v>1</v>
      </c>
      <c r="AE100">
        <v>1</v>
      </c>
    </row>
  </sheetData>
  <sortState xmlns:xlrd2="http://schemas.microsoft.com/office/spreadsheetml/2017/richdata2" ref="A2:AE100">
    <sortCondition ref="D2:D100"/>
    <sortCondition ref="C2:C100"/>
  </sortState>
  <conditionalFormatting sqref="O2:O1048576">
    <cfRule type="cellIs" dxfId="84" priority="8" operator="greaterThan">
      <formula>0.15</formula>
    </cfRule>
  </conditionalFormatting>
  <conditionalFormatting sqref="O1:O1048576">
    <cfRule type="cellIs" dxfId="83" priority="7" operator="greaterThan">
      <formula>0.11</formula>
    </cfRule>
  </conditionalFormatting>
  <conditionalFormatting sqref="E1:E1048576">
    <cfRule type="cellIs" dxfId="82" priority="6" operator="equal">
      <formula>"nonR"</formula>
    </cfRule>
  </conditionalFormatting>
  <conditionalFormatting sqref="M1:M1048576">
    <cfRule type="colorScale" priority="5">
      <colorScale>
        <cfvo type="num" val="5"/>
        <cfvo type="num" val="11"/>
        <color theme="0"/>
        <color rgb="FF63BE7B"/>
      </colorScale>
    </cfRule>
  </conditionalFormatting>
  <conditionalFormatting sqref="U1:U1048576">
    <cfRule type="cellIs" dxfId="81" priority="3" operator="notEqual">
      <formula>2.9</formula>
    </cfRule>
  </conditionalFormatting>
  <conditionalFormatting sqref="T1:T1048576">
    <cfRule type="cellIs" dxfId="80" priority="2" operator="notEqual">
      <formula>2500</formula>
    </cfRule>
  </conditionalFormatting>
  <conditionalFormatting sqref="V1:V1048576">
    <cfRule type="cellIs" dxfId="79" priority="1" operator="notEqual">
      <formula>1070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9A90-00EC-404D-B250-0722456259B8}">
  <dimension ref="A1:AG52"/>
  <sheetViews>
    <sheetView topLeftCell="A17" workbookViewId="0">
      <selection activeCell="AH7" sqref="AH7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s="2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s="3" t="s">
        <v>155</v>
      </c>
    </row>
    <row r="2" spans="1:30" x14ac:dyDescent="0.35">
      <c r="A2" t="s">
        <v>62</v>
      </c>
      <c r="B2" t="s">
        <v>62</v>
      </c>
      <c r="C2" t="s">
        <v>32</v>
      </c>
      <c r="D2" t="s">
        <v>54</v>
      </c>
      <c r="E2" t="s">
        <v>51</v>
      </c>
      <c r="F2" s="2">
        <v>5.6208076659822002</v>
      </c>
      <c r="G2">
        <v>5</v>
      </c>
      <c r="H2">
        <v>18</v>
      </c>
      <c r="I2">
        <v>47</v>
      </c>
      <c r="J2" t="s">
        <v>35</v>
      </c>
      <c r="K2" t="s">
        <v>36</v>
      </c>
      <c r="L2">
        <v>67064</v>
      </c>
      <c r="M2">
        <v>5.6</v>
      </c>
      <c r="N2" t="s">
        <v>32</v>
      </c>
      <c r="P2" t="s">
        <v>72</v>
      </c>
      <c r="Q2" t="s">
        <v>72</v>
      </c>
      <c r="R2" t="s">
        <v>58</v>
      </c>
      <c r="S2" t="s">
        <v>54</v>
      </c>
      <c r="T2" t="s">
        <v>34</v>
      </c>
      <c r="U2" s="2">
        <v>5.1143052703627596</v>
      </c>
      <c r="V2">
        <v>0</v>
      </c>
      <c r="W2">
        <v>15</v>
      </c>
      <c r="X2">
        <v>413</v>
      </c>
      <c r="Y2" t="s">
        <v>35</v>
      </c>
      <c r="Z2" t="s">
        <v>36</v>
      </c>
      <c r="AA2">
        <v>67064</v>
      </c>
      <c r="AB2">
        <v>5.0999999999999996</v>
      </c>
      <c r="AC2" t="s">
        <v>58</v>
      </c>
      <c r="AD2">
        <f>COUNTIFS(M$2:M$15,"&gt;"&amp;AB2 -1,M$2:M$15,"&lt;"&amp;AB2 +1)</f>
        <v>3</v>
      </c>
    </row>
    <row r="3" spans="1:30" x14ac:dyDescent="0.35">
      <c r="A3" t="s">
        <v>53</v>
      </c>
      <c r="B3" t="s">
        <v>53</v>
      </c>
      <c r="C3" t="s">
        <v>32</v>
      </c>
      <c r="D3" t="s">
        <v>54</v>
      </c>
      <c r="E3" t="s">
        <v>34</v>
      </c>
      <c r="F3" s="2">
        <v>5.63997262149213</v>
      </c>
      <c r="G3">
        <v>10</v>
      </c>
      <c r="H3">
        <v>27</v>
      </c>
      <c r="I3">
        <v>98</v>
      </c>
      <c r="J3" t="s">
        <v>35</v>
      </c>
      <c r="K3" t="s">
        <v>36</v>
      </c>
      <c r="L3">
        <v>67064</v>
      </c>
      <c r="M3">
        <v>5.6</v>
      </c>
      <c r="N3" t="s">
        <v>32</v>
      </c>
      <c r="P3" t="s">
        <v>63</v>
      </c>
      <c r="Q3" t="s">
        <v>63</v>
      </c>
      <c r="R3" t="s">
        <v>58</v>
      </c>
      <c r="S3" t="s">
        <v>54</v>
      </c>
      <c r="T3" t="s">
        <v>34</v>
      </c>
      <c r="U3" s="2">
        <v>6.1190965092402498</v>
      </c>
      <c r="V3">
        <v>10</v>
      </c>
      <c r="W3">
        <v>23</v>
      </c>
      <c r="X3">
        <v>753</v>
      </c>
      <c r="Y3" t="s">
        <v>35</v>
      </c>
      <c r="Z3" t="s">
        <v>36</v>
      </c>
      <c r="AA3">
        <v>67064</v>
      </c>
      <c r="AB3">
        <v>6.1</v>
      </c>
      <c r="AC3" t="s">
        <v>58</v>
      </c>
      <c r="AD3">
        <f t="shared" ref="AD3:AD8" si="0">COUNTIFS(M$2:M$15,"&gt;"&amp;AB3 -1,M$2:M$15,"&lt;"&amp;AB3 +1)</f>
        <v>6</v>
      </c>
    </row>
    <row r="4" spans="1:30" x14ac:dyDescent="0.35">
      <c r="A4" t="s">
        <v>68</v>
      </c>
      <c r="B4" t="s">
        <v>68</v>
      </c>
      <c r="C4" t="s">
        <v>32</v>
      </c>
      <c r="D4" t="s">
        <v>54</v>
      </c>
      <c r="E4" t="s">
        <v>34</v>
      </c>
      <c r="F4" s="2">
        <v>5.8918548939082802</v>
      </c>
      <c r="G4">
        <v>20</v>
      </c>
      <c r="H4">
        <v>22</v>
      </c>
      <c r="I4">
        <v>148</v>
      </c>
      <c r="J4" t="s">
        <v>35</v>
      </c>
      <c r="K4" t="s">
        <v>36</v>
      </c>
      <c r="L4">
        <v>67064</v>
      </c>
      <c r="M4">
        <v>5.9</v>
      </c>
      <c r="N4" t="s">
        <v>32</v>
      </c>
      <c r="P4" t="s">
        <v>97</v>
      </c>
      <c r="Q4" t="s">
        <v>97</v>
      </c>
      <c r="R4" t="s">
        <v>58</v>
      </c>
      <c r="S4" t="s">
        <v>54</v>
      </c>
      <c r="T4" t="s">
        <v>34</v>
      </c>
      <c r="U4" s="2">
        <v>8.7857631759069097</v>
      </c>
      <c r="V4">
        <v>10</v>
      </c>
      <c r="W4">
        <v>9</v>
      </c>
      <c r="X4">
        <v>491</v>
      </c>
      <c r="Y4" t="s">
        <v>35</v>
      </c>
      <c r="Z4" t="s">
        <v>36</v>
      </c>
      <c r="AA4">
        <v>67064</v>
      </c>
      <c r="AB4">
        <v>8.8000000000000007</v>
      </c>
      <c r="AC4" t="s">
        <v>77</v>
      </c>
      <c r="AD4">
        <f t="shared" si="0"/>
        <v>5</v>
      </c>
    </row>
    <row r="5" spans="1:30" x14ac:dyDescent="0.35">
      <c r="A5" t="s">
        <v>82</v>
      </c>
      <c r="B5" t="s">
        <v>82</v>
      </c>
      <c r="C5" t="s">
        <v>32</v>
      </c>
      <c r="D5" t="s">
        <v>54</v>
      </c>
      <c r="E5" t="s">
        <v>34</v>
      </c>
      <c r="F5" s="2">
        <v>6.1546885694729596</v>
      </c>
      <c r="G5">
        <v>5</v>
      </c>
      <c r="H5">
        <v>21</v>
      </c>
      <c r="I5">
        <v>291</v>
      </c>
      <c r="J5" t="s">
        <v>35</v>
      </c>
      <c r="K5" t="s">
        <v>36</v>
      </c>
      <c r="L5">
        <v>67064</v>
      </c>
      <c r="M5">
        <v>6.2</v>
      </c>
      <c r="N5" t="s">
        <v>32</v>
      </c>
      <c r="P5" t="s">
        <v>117</v>
      </c>
      <c r="Q5" t="s">
        <v>117</v>
      </c>
      <c r="R5" t="s">
        <v>58</v>
      </c>
      <c r="S5" t="s">
        <v>54</v>
      </c>
      <c r="T5" t="s">
        <v>34</v>
      </c>
      <c r="U5" s="2">
        <v>9.1416837782340892</v>
      </c>
      <c r="V5">
        <v>10</v>
      </c>
      <c r="W5">
        <v>7</v>
      </c>
      <c r="X5">
        <v>516</v>
      </c>
      <c r="Y5" t="s">
        <v>35</v>
      </c>
      <c r="Z5" t="s">
        <v>36</v>
      </c>
      <c r="AA5">
        <v>67064</v>
      </c>
      <c r="AB5">
        <v>9.1</v>
      </c>
      <c r="AC5" t="s">
        <v>77</v>
      </c>
      <c r="AD5">
        <f t="shared" si="0"/>
        <v>5</v>
      </c>
    </row>
    <row r="6" spans="1:30" x14ac:dyDescent="0.35">
      <c r="A6" t="s">
        <v>55</v>
      </c>
      <c r="B6" t="s">
        <v>55</v>
      </c>
      <c r="C6" t="s">
        <v>32</v>
      </c>
      <c r="D6" t="s">
        <v>54</v>
      </c>
      <c r="E6" t="s">
        <v>34</v>
      </c>
      <c r="F6" s="2">
        <v>6.2176591375769998</v>
      </c>
      <c r="G6">
        <v>0</v>
      </c>
      <c r="H6">
        <v>7</v>
      </c>
      <c r="I6">
        <v>111</v>
      </c>
      <c r="J6" t="s">
        <v>35</v>
      </c>
      <c r="K6" t="s">
        <v>36</v>
      </c>
      <c r="L6">
        <v>67064</v>
      </c>
      <c r="M6">
        <v>6.2</v>
      </c>
      <c r="N6" t="s">
        <v>32</v>
      </c>
      <c r="P6" t="s">
        <v>61</v>
      </c>
      <c r="Q6" t="s">
        <v>61</v>
      </c>
      <c r="R6" t="s">
        <v>58</v>
      </c>
      <c r="S6" t="s">
        <v>54</v>
      </c>
      <c r="T6" t="s">
        <v>51</v>
      </c>
      <c r="U6" s="2">
        <v>9.1444216290212204</v>
      </c>
      <c r="V6">
        <v>0</v>
      </c>
      <c r="W6">
        <v>7</v>
      </c>
      <c r="X6">
        <v>468</v>
      </c>
      <c r="Y6" t="s">
        <v>35</v>
      </c>
      <c r="Z6" t="s">
        <v>36</v>
      </c>
      <c r="AA6">
        <v>67064</v>
      </c>
      <c r="AB6">
        <v>9.1</v>
      </c>
      <c r="AC6" t="s">
        <v>58</v>
      </c>
      <c r="AD6">
        <f t="shared" si="0"/>
        <v>5</v>
      </c>
    </row>
    <row r="7" spans="1:30" x14ac:dyDescent="0.35">
      <c r="A7" t="s">
        <v>114</v>
      </c>
      <c r="B7" t="s">
        <v>114</v>
      </c>
      <c r="C7" t="s">
        <v>32</v>
      </c>
      <c r="D7" t="s">
        <v>54</v>
      </c>
      <c r="E7" t="s">
        <v>34</v>
      </c>
      <c r="F7" s="2">
        <v>6.9431895961670103</v>
      </c>
      <c r="G7">
        <v>0</v>
      </c>
      <c r="H7">
        <v>21</v>
      </c>
      <c r="I7">
        <v>134</v>
      </c>
      <c r="J7" t="s">
        <v>35</v>
      </c>
      <c r="K7" t="s">
        <v>36</v>
      </c>
      <c r="L7">
        <v>67064</v>
      </c>
      <c r="M7">
        <v>6.9</v>
      </c>
      <c r="N7" t="s">
        <v>32</v>
      </c>
      <c r="P7" t="s">
        <v>125</v>
      </c>
      <c r="Q7" t="s">
        <v>125</v>
      </c>
      <c r="R7" t="s">
        <v>58</v>
      </c>
      <c r="S7" t="s">
        <v>54</v>
      </c>
      <c r="T7" t="s">
        <v>34</v>
      </c>
      <c r="U7" s="2">
        <v>9.9383983572895307</v>
      </c>
      <c r="V7">
        <v>35</v>
      </c>
      <c r="W7">
        <v>33</v>
      </c>
      <c r="X7">
        <v>2211</v>
      </c>
      <c r="Y7" t="s">
        <v>35</v>
      </c>
      <c r="Z7" t="s">
        <v>36</v>
      </c>
      <c r="AA7">
        <v>67064</v>
      </c>
      <c r="AB7">
        <v>9.9</v>
      </c>
      <c r="AC7" t="s">
        <v>58</v>
      </c>
      <c r="AD7">
        <f t="shared" si="0"/>
        <v>5</v>
      </c>
    </row>
    <row r="8" spans="1:30" x14ac:dyDescent="0.35">
      <c r="A8" t="s">
        <v>134</v>
      </c>
      <c r="B8" t="s">
        <v>134</v>
      </c>
      <c r="C8" t="s">
        <v>32</v>
      </c>
      <c r="D8" t="s">
        <v>54</v>
      </c>
      <c r="E8" t="s">
        <v>51</v>
      </c>
      <c r="F8" s="2">
        <v>7.9370294318959598</v>
      </c>
      <c r="G8">
        <v>30</v>
      </c>
      <c r="H8">
        <v>11</v>
      </c>
      <c r="I8">
        <v>185</v>
      </c>
      <c r="J8" t="s">
        <v>35</v>
      </c>
      <c r="K8" t="s">
        <v>36</v>
      </c>
      <c r="L8">
        <v>67064</v>
      </c>
      <c r="M8">
        <v>7.9</v>
      </c>
      <c r="N8" t="s">
        <v>32</v>
      </c>
      <c r="P8" t="s">
        <v>80</v>
      </c>
      <c r="Q8" t="s">
        <v>80</v>
      </c>
      <c r="R8" t="s">
        <v>58</v>
      </c>
      <c r="S8" t="s">
        <v>54</v>
      </c>
      <c r="T8" t="s">
        <v>34</v>
      </c>
      <c r="U8" s="2">
        <v>10.4147843942505</v>
      </c>
      <c r="V8">
        <v>0</v>
      </c>
      <c r="W8">
        <v>13</v>
      </c>
      <c r="X8">
        <v>517</v>
      </c>
      <c r="Y8" t="s">
        <v>35</v>
      </c>
      <c r="Z8" t="s">
        <v>36</v>
      </c>
      <c r="AA8">
        <v>67064</v>
      </c>
      <c r="AB8">
        <v>10.4</v>
      </c>
      <c r="AC8" t="s">
        <v>77</v>
      </c>
      <c r="AD8">
        <f t="shared" si="0"/>
        <v>4</v>
      </c>
    </row>
    <row r="9" spans="1:30" x14ac:dyDescent="0.35">
      <c r="A9" t="s">
        <v>90</v>
      </c>
      <c r="B9" t="s">
        <v>90</v>
      </c>
      <c r="C9" t="s">
        <v>32</v>
      </c>
      <c r="D9" t="s">
        <v>54</v>
      </c>
      <c r="E9" t="s">
        <v>34</v>
      </c>
      <c r="F9" s="2">
        <v>8.8788501026694</v>
      </c>
      <c r="G9">
        <v>5</v>
      </c>
      <c r="H9">
        <v>10</v>
      </c>
      <c r="I9">
        <v>174</v>
      </c>
      <c r="J9" t="s">
        <v>35</v>
      </c>
      <c r="K9" t="s">
        <v>36</v>
      </c>
      <c r="L9">
        <v>67064</v>
      </c>
      <c r="M9">
        <v>8.9</v>
      </c>
      <c r="N9" t="s">
        <v>32</v>
      </c>
    </row>
    <row r="10" spans="1:30" x14ac:dyDescent="0.35">
      <c r="A10" t="s">
        <v>106</v>
      </c>
      <c r="B10" t="s">
        <v>106</v>
      </c>
      <c r="C10" t="s">
        <v>32</v>
      </c>
      <c r="D10" t="s">
        <v>54</v>
      </c>
      <c r="E10" t="s">
        <v>34</v>
      </c>
      <c r="F10" s="2">
        <v>9.1362080766598197</v>
      </c>
      <c r="G10">
        <v>0</v>
      </c>
      <c r="H10">
        <v>24</v>
      </c>
      <c r="I10">
        <v>227</v>
      </c>
      <c r="J10" t="s">
        <v>35</v>
      </c>
      <c r="K10" t="s">
        <v>36</v>
      </c>
      <c r="L10">
        <v>67064</v>
      </c>
      <c r="M10">
        <v>9.1</v>
      </c>
      <c r="N10" t="s">
        <v>32</v>
      </c>
    </row>
    <row r="11" spans="1:30" x14ac:dyDescent="0.35">
      <c r="A11" t="s">
        <v>141</v>
      </c>
      <c r="B11" t="s">
        <v>141</v>
      </c>
      <c r="C11" t="s">
        <v>32</v>
      </c>
      <c r="D11" t="s">
        <v>54</v>
      </c>
      <c r="E11" t="s">
        <v>34</v>
      </c>
      <c r="F11" s="2">
        <v>9.39082819986311</v>
      </c>
      <c r="G11">
        <v>20</v>
      </c>
      <c r="H11">
        <v>19</v>
      </c>
      <c r="I11">
        <v>201</v>
      </c>
      <c r="J11" t="s">
        <v>35</v>
      </c>
      <c r="K11" t="s">
        <v>36</v>
      </c>
      <c r="L11">
        <v>67064</v>
      </c>
      <c r="M11">
        <v>9.4</v>
      </c>
      <c r="N11" t="s">
        <v>32</v>
      </c>
    </row>
    <row r="12" spans="1:30" x14ac:dyDescent="0.35">
      <c r="A12" t="s">
        <v>79</v>
      </c>
      <c r="B12" t="s">
        <v>79</v>
      </c>
      <c r="C12" t="s">
        <v>32</v>
      </c>
      <c r="D12" t="s">
        <v>54</v>
      </c>
      <c r="E12" t="s">
        <v>34</v>
      </c>
      <c r="F12" s="2">
        <v>9.4866529774127297</v>
      </c>
      <c r="G12">
        <v>0</v>
      </c>
      <c r="H12">
        <v>12</v>
      </c>
      <c r="I12">
        <v>333</v>
      </c>
      <c r="J12" t="s">
        <v>35</v>
      </c>
      <c r="K12" t="s">
        <v>36</v>
      </c>
      <c r="L12">
        <v>67064</v>
      </c>
      <c r="M12">
        <v>9.5</v>
      </c>
      <c r="N12" t="s">
        <v>32</v>
      </c>
    </row>
    <row r="13" spans="1:30" x14ac:dyDescent="0.35">
      <c r="A13" t="s">
        <v>139</v>
      </c>
      <c r="B13" t="s">
        <v>139</v>
      </c>
      <c r="C13" t="s">
        <v>32</v>
      </c>
      <c r="D13" t="s">
        <v>54</v>
      </c>
      <c r="E13" t="s">
        <v>34</v>
      </c>
      <c r="F13" s="2">
        <v>9.8945927446954105</v>
      </c>
      <c r="G13">
        <v>10</v>
      </c>
      <c r="H13">
        <v>13</v>
      </c>
      <c r="I13">
        <v>93</v>
      </c>
      <c r="J13" t="s">
        <v>35</v>
      </c>
      <c r="K13" t="s">
        <v>36</v>
      </c>
      <c r="L13">
        <v>67064</v>
      </c>
      <c r="M13">
        <v>9.9</v>
      </c>
      <c r="N13" t="s">
        <v>32</v>
      </c>
    </row>
    <row r="14" spans="1:30" x14ac:dyDescent="0.35">
      <c r="A14" t="s">
        <v>91</v>
      </c>
      <c r="B14" t="s">
        <v>92</v>
      </c>
      <c r="C14" t="s">
        <v>32</v>
      </c>
      <c r="D14" t="s">
        <v>54</v>
      </c>
      <c r="E14" t="s">
        <v>34</v>
      </c>
      <c r="F14" s="2">
        <v>10.234086242299799</v>
      </c>
      <c r="G14">
        <v>10</v>
      </c>
      <c r="H14">
        <v>16</v>
      </c>
      <c r="I14">
        <v>253</v>
      </c>
      <c r="J14" t="s">
        <v>35</v>
      </c>
      <c r="K14" t="s">
        <v>36</v>
      </c>
      <c r="L14">
        <v>67064</v>
      </c>
      <c r="M14">
        <v>10.199999999999999</v>
      </c>
      <c r="N14" t="s">
        <v>32</v>
      </c>
    </row>
    <row r="15" spans="1:30" x14ac:dyDescent="0.35">
      <c r="A15" t="s">
        <v>146</v>
      </c>
      <c r="B15" t="s">
        <v>146</v>
      </c>
      <c r="C15" t="s">
        <v>32</v>
      </c>
      <c r="D15" t="s">
        <v>54</v>
      </c>
      <c r="E15" t="s">
        <v>34</v>
      </c>
      <c r="F15" s="2">
        <v>10.926762491444199</v>
      </c>
      <c r="G15">
        <v>20</v>
      </c>
      <c r="H15">
        <v>26</v>
      </c>
      <c r="I15">
        <v>354</v>
      </c>
      <c r="J15" t="s">
        <v>35</v>
      </c>
      <c r="K15" t="s">
        <v>36</v>
      </c>
      <c r="L15">
        <v>67064</v>
      </c>
      <c r="M15">
        <v>10.9</v>
      </c>
      <c r="N15" t="s">
        <v>32</v>
      </c>
    </row>
    <row r="18" spans="1:33" x14ac:dyDescent="0.35">
      <c r="A18" s="3" t="s">
        <v>154</v>
      </c>
    </row>
    <row r="19" spans="1:33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2" t="s">
        <v>5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P19" t="s">
        <v>0</v>
      </c>
      <c r="Q19" t="s">
        <v>1</v>
      </c>
      <c r="R19" t="s">
        <v>2</v>
      </c>
      <c r="S19" t="s">
        <v>3</v>
      </c>
      <c r="T19" t="s">
        <v>4</v>
      </c>
      <c r="U19" s="2" t="s">
        <v>5</v>
      </c>
      <c r="V19" t="s">
        <v>6</v>
      </c>
      <c r="W19" t="s">
        <v>7</v>
      </c>
      <c r="X19" t="s">
        <v>8</v>
      </c>
      <c r="Y19" t="s">
        <v>9</v>
      </c>
      <c r="Z19" t="s">
        <v>10</v>
      </c>
      <c r="AA19" t="s">
        <v>11</v>
      </c>
      <c r="AB19" t="s">
        <v>12</v>
      </c>
      <c r="AC19" t="s">
        <v>13</v>
      </c>
      <c r="AF19" s="3" t="s">
        <v>160</v>
      </c>
      <c r="AG19" s="3" t="s">
        <v>161</v>
      </c>
    </row>
    <row r="20" spans="1:33" x14ac:dyDescent="0.35">
      <c r="A20" t="s">
        <v>53</v>
      </c>
      <c r="B20" t="s">
        <v>53</v>
      </c>
      <c r="C20" t="s">
        <v>32</v>
      </c>
      <c r="D20" t="s">
        <v>54</v>
      </c>
      <c r="E20" t="s">
        <v>34</v>
      </c>
      <c r="F20" s="2">
        <v>5.63997262149213</v>
      </c>
      <c r="G20">
        <v>10</v>
      </c>
      <c r="H20">
        <v>27</v>
      </c>
      <c r="I20">
        <v>98</v>
      </c>
      <c r="J20" t="s">
        <v>35</v>
      </c>
      <c r="K20" t="s">
        <v>36</v>
      </c>
      <c r="L20">
        <v>67064</v>
      </c>
      <c r="M20">
        <v>5.6</v>
      </c>
      <c r="N20" t="s">
        <v>32</v>
      </c>
      <c r="P20" t="s">
        <v>72</v>
      </c>
      <c r="Q20" t="s">
        <v>72</v>
      </c>
      <c r="R20" t="s">
        <v>58</v>
      </c>
      <c r="S20" t="s">
        <v>54</v>
      </c>
      <c r="T20" t="s">
        <v>34</v>
      </c>
      <c r="U20" s="2">
        <v>5.1143052703627596</v>
      </c>
      <c r="V20">
        <v>0</v>
      </c>
      <c r="W20">
        <v>15</v>
      </c>
      <c r="X20">
        <v>413</v>
      </c>
      <c r="Y20" t="s">
        <v>35</v>
      </c>
      <c r="Z20" t="s">
        <v>36</v>
      </c>
      <c r="AA20">
        <v>67064</v>
      </c>
      <c r="AB20">
        <v>5.0999999999999996</v>
      </c>
      <c r="AC20" t="s">
        <v>58</v>
      </c>
      <c r="AF20" s="2">
        <f>IF(ISBLANK(F20),"",F20-U20)</f>
        <v>0.52566735112937035</v>
      </c>
      <c r="AG20" s="2">
        <f>IF(ISBLANK(F20),"",ABS(AF20))</f>
        <v>0.52566735112937035</v>
      </c>
    </row>
    <row r="21" spans="1:33" x14ac:dyDescent="0.35">
      <c r="A21" t="s">
        <v>82</v>
      </c>
      <c r="B21" t="s">
        <v>82</v>
      </c>
      <c r="C21" t="s">
        <v>32</v>
      </c>
      <c r="D21" t="s">
        <v>54</v>
      </c>
      <c r="E21" t="s">
        <v>34</v>
      </c>
      <c r="F21" s="2">
        <v>6.1546885694729596</v>
      </c>
      <c r="G21">
        <v>5</v>
      </c>
      <c r="H21">
        <v>21</v>
      </c>
      <c r="I21">
        <v>291</v>
      </c>
      <c r="J21" t="s">
        <v>35</v>
      </c>
      <c r="K21" t="s">
        <v>36</v>
      </c>
      <c r="L21">
        <v>67064</v>
      </c>
      <c r="M21">
        <v>6.2</v>
      </c>
      <c r="N21" t="s">
        <v>32</v>
      </c>
      <c r="P21" t="s">
        <v>63</v>
      </c>
      <c r="Q21" t="s">
        <v>63</v>
      </c>
      <c r="R21" t="s">
        <v>58</v>
      </c>
      <c r="S21" t="s">
        <v>54</v>
      </c>
      <c r="T21" t="s">
        <v>34</v>
      </c>
      <c r="U21" s="2">
        <v>6.1190965092402498</v>
      </c>
      <c r="V21">
        <v>10</v>
      </c>
      <c r="W21">
        <v>23</v>
      </c>
      <c r="X21">
        <v>753</v>
      </c>
      <c r="Y21" t="s">
        <v>35</v>
      </c>
      <c r="Z21" t="s">
        <v>36</v>
      </c>
      <c r="AA21">
        <v>67064</v>
      </c>
      <c r="AB21">
        <v>6.1</v>
      </c>
      <c r="AC21" t="s">
        <v>58</v>
      </c>
      <c r="AF21" s="2">
        <f t="shared" ref="AF21:AF52" si="1">IF(ISBLANK(F21),"",F21-U21)</f>
        <v>3.5592060232709777E-2</v>
      </c>
      <c r="AG21" s="2">
        <f>IF(ISBLANK(F21),"",ABS(AF21))</f>
        <v>3.5592060232709777E-2</v>
      </c>
    </row>
    <row r="22" spans="1:33" x14ac:dyDescent="0.35">
      <c r="A22" t="s">
        <v>90</v>
      </c>
      <c r="B22" t="s">
        <v>90</v>
      </c>
      <c r="C22" t="s">
        <v>32</v>
      </c>
      <c r="D22" t="s">
        <v>54</v>
      </c>
      <c r="E22" t="s">
        <v>34</v>
      </c>
      <c r="F22" s="2">
        <v>8.8788501026694</v>
      </c>
      <c r="G22">
        <v>5</v>
      </c>
      <c r="H22">
        <v>10</v>
      </c>
      <c r="I22">
        <v>174</v>
      </c>
      <c r="J22" t="s">
        <v>35</v>
      </c>
      <c r="K22" t="s">
        <v>36</v>
      </c>
      <c r="L22">
        <v>67064</v>
      </c>
      <c r="M22">
        <v>8.9</v>
      </c>
      <c r="N22" t="s">
        <v>32</v>
      </c>
      <c r="P22" t="s">
        <v>97</v>
      </c>
      <c r="Q22" t="s">
        <v>97</v>
      </c>
      <c r="R22" t="s">
        <v>58</v>
      </c>
      <c r="S22" t="s">
        <v>54</v>
      </c>
      <c r="T22" t="s">
        <v>34</v>
      </c>
      <c r="U22" s="2">
        <v>8.7857631759069097</v>
      </c>
      <c r="V22">
        <v>10</v>
      </c>
      <c r="W22">
        <v>9</v>
      </c>
      <c r="X22">
        <v>491</v>
      </c>
      <c r="Y22" t="s">
        <v>35</v>
      </c>
      <c r="Z22" t="s">
        <v>36</v>
      </c>
      <c r="AA22">
        <v>67064</v>
      </c>
      <c r="AB22">
        <v>8.8000000000000007</v>
      </c>
      <c r="AC22" t="s">
        <v>77</v>
      </c>
      <c r="AF22" s="2">
        <f t="shared" si="1"/>
        <v>9.3086926762490307E-2</v>
      </c>
      <c r="AG22" s="2">
        <f t="shared" ref="AG22:AG52" si="2">IF(ISBLANK(F22),"",ABS(AF22))</f>
        <v>9.3086926762490307E-2</v>
      </c>
    </row>
    <row r="23" spans="1:33" x14ac:dyDescent="0.35">
      <c r="A23" t="s">
        <v>106</v>
      </c>
      <c r="B23" t="s">
        <v>106</v>
      </c>
      <c r="C23" t="s">
        <v>32</v>
      </c>
      <c r="D23" t="s">
        <v>54</v>
      </c>
      <c r="E23" t="s">
        <v>34</v>
      </c>
      <c r="F23" s="2">
        <v>9.1362080766598197</v>
      </c>
      <c r="G23">
        <v>0</v>
      </c>
      <c r="H23">
        <v>24</v>
      </c>
      <c r="I23">
        <v>227</v>
      </c>
      <c r="J23" t="s">
        <v>35</v>
      </c>
      <c r="K23" t="s">
        <v>36</v>
      </c>
      <c r="L23">
        <v>67064</v>
      </c>
      <c r="M23">
        <v>9.1</v>
      </c>
      <c r="N23" t="s">
        <v>32</v>
      </c>
      <c r="P23" t="s">
        <v>117</v>
      </c>
      <c r="Q23" t="s">
        <v>117</v>
      </c>
      <c r="R23" t="s">
        <v>58</v>
      </c>
      <c r="S23" t="s">
        <v>54</v>
      </c>
      <c r="T23" t="s">
        <v>34</v>
      </c>
      <c r="U23" s="2">
        <v>9.1416837782340892</v>
      </c>
      <c r="V23">
        <v>10</v>
      </c>
      <c r="W23">
        <v>7</v>
      </c>
      <c r="X23">
        <v>516</v>
      </c>
      <c r="Y23" t="s">
        <v>35</v>
      </c>
      <c r="Z23" t="s">
        <v>36</v>
      </c>
      <c r="AA23">
        <v>67064</v>
      </c>
      <c r="AB23">
        <v>9.1</v>
      </c>
      <c r="AC23" t="s">
        <v>77</v>
      </c>
      <c r="AF23" s="2">
        <f t="shared" si="1"/>
        <v>-5.4757015742694648E-3</v>
      </c>
      <c r="AG23" s="2">
        <f t="shared" si="2"/>
        <v>5.4757015742694648E-3</v>
      </c>
    </row>
    <row r="24" spans="1:33" x14ac:dyDescent="0.35">
      <c r="A24" t="s">
        <v>134</v>
      </c>
      <c r="B24" t="s">
        <v>134</v>
      </c>
      <c r="C24" t="s">
        <v>32</v>
      </c>
      <c r="D24" t="s">
        <v>54</v>
      </c>
      <c r="E24" t="s">
        <v>51</v>
      </c>
      <c r="F24" s="2">
        <v>7.9370294318959598</v>
      </c>
      <c r="G24">
        <v>30</v>
      </c>
      <c r="H24">
        <v>11</v>
      </c>
      <c r="I24">
        <v>185</v>
      </c>
      <c r="J24" t="s">
        <v>35</v>
      </c>
      <c r="K24" t="s">
        <v>36</v>
      </c>
      <c r="L24">
        <v>67064</v>
      </c>
      <c r="M24">
        <v>7.9</v>
      </c>
      <c r="N24" t="s">
        <v>32</v>
      </c>
      <c r="P24" t="s">
        <v>61</v>
      </c>
      <c r="Q24" t="s">
        <v>61</v>
      </c>
      <c r="R24" t="s">
        <v>58</v>
      </c>
      <c r="S24" t="s">
        <v>54</v>
      </c>
      <c r="T24" t="s">
        <v>51</v>
      </c>
      <c r="U24" s="2">
        <v>9.1444216290212204</v>
      </c>
      <c r="V24">
        <v>0</v>
      </c>
      <c r="W24">
        <v>7</v>
      </c>
      <c r="X24">
        <v>468</v>
      </c>
      <c r="Y24" t="s">
        <v>35</v>
      </c>
      <c r="Z24" t="s">
        <v>36</v>
      </c>
      <c r="AA24">
        <v>67064</v>
      </c>
      <c r="AB24">
        <v>9.1</v>
      </c>
      <c r="AC24" t="s">
        <v>58</v>
      </c>
      <c r="AF24" s="2">
        <f>IF(ISBLANK(F24),"",F24-U24)</f>
        <v>-1.2073921971252606</v>
      </c>
      <c r="AG24" s="2">
        <f t="shared" si="2"/>
        <v>1.2073921971252606</v>
      </c>
    </row>
    <row r="25" spans="1:33" x14ac:dyDescent="0.35">
      <c r="A25" t="s">
        <v>139</v>
      </c>
      <c r="B25" t="s">
        <v>139</v>
      </c>
      <c r="C25" t="s">
        <v>32</v>
      </c>
      <c r="D25" t="s">
        <v>54</v>
      </c>
      <c r="E25" t="s">
        <v>34</v>
      </c>
      <c r="F25" s="2">
        <v>9.8945927446954105</v>
      </c>
      <c r="G25">
        <v>10</v>
      </c>
      <c r="H25">
        <v>13</v>
      </c>
      <c r="I25">
        <v>93</v>
      </c>
      <c r="J25" t="s">
        <v>35</v>
      </c>
      <c r="K25" t="s">
        <v>36</v>
      </c>
      <c r="L25">
        <v>67064</v>
      </c>
      <c r="M25">
        <v>9.9</v>
      </c>
      <c r="N25" t="s">
        <v>32</v>
      </c>
      <c r="P25" t="s">
        <v>125</v>
      </c>
      <c r="Q25" t="s">
        <v>125</v>
      </c>
      <c r="R25" t="s">
        <v>58</v>
      </c>
      <c r="S25" t="s">
        <v>54</v>
      </c>
      <c r="T25" t="s">
        <v>34</v>
      </c>
      <c r="U25" s="2">
        <v>9.9383983572895307</v>
      </c>
      <c r="V25">
        <v>35</v>
      </c>
      <c r="W25">
        <v>33</v>
      </c>
      <c r="X25">
        <v>2211</v>
      </c>
      <c r="Y25" t="s">
        <v>35</v>
      </c>
      <c r="Z25" t="s">
        <v>36</v>
      </c>
      <c r="AA25">
        <v>67064</v>
      </c>
      <c r="AB25">
        <v>9.9</v>
      </c>
      <c r="AC25" t="s">
        <v>58</v>
      </c>
      <c r="AF25" s="2">
        <f>IF(ISBLANK(F25),"",F25-U25)</f>
        <v>-4.3805612594120191E-2</v>
      </c>
      <c r="AG25" s="2">
        <f t="shared" si="2"/>
        <v>4.3805612594120191E-2</v>
      </c>
    </row>
    <row r="26" spans="1:33" x14ac:dyDescent="0.35">
      <c r="A26" t="s">
        <v>91</v>
      </c>
      <c r="B26" t="s">
        <v>92</v>
      </c>
      <c r="C26" t="s">
        <v>32</v>
      </c>
      <c r="D26" t="s">
        <v>54</v>
      </c>
      <c r="E26" t="s">
        <v>34</v>
      </c>
      <c r="F26" s="2">
        <v>10.234086242299799</v>
      </c>
      <c r="G26">
        <v>10</v>
      </c>
      <c r="H26">
        <v>16</v>
      </c>
      <c r="I26">
        <v>253</v>
      </c>
      <c r="J26" t="s">
        <v>35</v>
      </c>
      <c r="K26" t="s">
        <v>36</v>
      </c>
      <c r="L26">
        <v>67064</v>
      </c>
      <c r="M26">
        <v>10.199999999999999</v>
      </c>
      <c r="N26" t="s">
        <v>32</v>
      </c>
      <c r="P26" t="s">
        <v>80</v>
      </c>
      <c r="Q26" t="s">
        <v>80</v>
      </c>
      <c r="R26" t="s">
        <v>58</v>
      </c>
      <c r="S26" t="s">
        <v>54</v>
      </c>
      <c r="T26" t="s">
        <v>34</v>
      </c>
      <c r="U26" s="2">
        <v>10.4147843942505</v>
      </c>
      <c r="V26">
        <v>0</v>
      </c>
      <c r="W26">
        <v>13</v>
      </c>
      <c r="X26">
        <v>517</v>
      </c>
      <c r="Y26" t="s">
        <v>35</v>
      </c>
      <c r="Z26" t="s">
        <v>36</v>
      </c>
      <c r="AA26">
        <v>67064</v>
      </c>
      <c r="AB26">
        <v>10.4</v>
      </c>
      <c r="AC26" t="s">
        <v>77</v>
      </c>
      <c r="AF26" s="2">
        <f t="shared" si="1"/>
        <v>-0.18069815195070049</v>
      </c>
      <c r="AG26" s="2">
        <f t="shared" si="2"/>
        <v>0.18069815195070049</v>
      </c>
    </row>
    <row r="27" spans="1:33" x14ac:dyDescent="0.35">
      <c r="AF27" s="2" t="str">
        <f t="shared" si="1"/>
        <v/>
      </c>
      <c r="AG27" s="2" t="str">
        <f t="shared" si="2"/>
        <v/>
      </c>
    </row>
    <row r="28" spans="1:33" x14ac:dyDescent="0.35">
      <c r="AE28" s="3" t="s">
        <v>156</v>
      </c>
      <c r="AF28" s="4">
        <f>AVERAGE(AF20:AF26)</f>
        <v>-0.11186076073139718</v>
      </c>
      <c r="AG28" s="4">
        <f>AVERAGE(AG20:AG26)</f>
        <v>0.29881685733841729</v>
      </c>
    </row>
    <row r="29" spans="1:33" x14ac:dyDescent="0.35">
      <c r="AE29" s="3" t="s">
        <v>162</v>
      </c>
      <c r="AG29" s="4">
        <f>LARGE(AG20:AG26,2)</f>
        <v>0.52566735112937035</v>
      </c>
    </row>
    <row r="30" spans="1:33" x14ac:dyDescent="0.35">
      <c r="AE30" s="3" t="s">
        <v>157</v>
      </c>
      <c r="AG30" s="4">
        <f>MAX(AG20:AG26)</f>
        <v>1.2073921971252606</v>
      </c>
    </row>
    <row r="31" spans="1:33" x14ac:dyDescent="0.35">
      <c r="AE31" s="5" t="s">
        <v>159</v>
      </c>
      <c r="AF31" s="6">
        <f>AF24</f>
        <v>-1.2073921971252606</v>
      </c>
      <c r="AG31" s="6">
        <f>ABS(AF31)</f>
        <v>1.2073921971252606</v>
      </c>
    </row>
    <row r="32" spans="1:33" x14ac:dyDescent="0.35">
      <c r="AF32" s="2" t="str">
        <f t="shared" si="1"/>
        <v/>
      </c>
      <c r="AG32" s="2" t="str">
        <f t="shared" si="2"/>
        <v/>
      </c>
    </row>
    <row r="33" spans="32:33" x14ac:dyDescent="0.35">
      <c r="AF33" s="2" t="str">
        <f t="shared" si="1"/>
        <v/>
      </c>
      <c r="AG33" s="2" t="str">
        <f t="shared" si="2"/>
        <v/>
      </c>
    </row>
    <row r="34" spans="32:33" x14ac:dyDescent="0.35">
      <c r="AF34" s="2" t="str">
        <f t="shared" si="1"/>
        <v/>
      </c>
      <c r="AG34" s="2" t="str">
        <f t="shared" si="2"/>
        <v/>
      </c>
    </row>
    <row r="35" spans="32:33" x14ac:dyDescent="0.35">
      <c r="AF35" s="2" t="str">
        <f t="shared" si="1"/>
        <v/>
      </c>
      <c r="AG35" s="2" t="str">
        <f t="shared" si="2"/>
        <v/>
      </c>
    </row>
    <row r="36" spans="32:33" x14ac:dyDescent="0.35">
      <c r="AF36" s="2" t="str">
        <f t="shared" si="1"/>
        <v/>
      </c>
      <c r="AG36" s="2" t="str">
        <f t="shared" si="2"/>
        <v/>
      </c>
    </row>
    <row r="37" spans="32:33" x14ac:dyDescent="0.35">
      <c r="AF37" s="2" t="str">
        <f t="shared" si="1"/>
        <v/>
      </c>
      <c r="AG37" s="2" t="str">
        <f t="shared" si="2"/>
        <v/>
      </c>
    </row>
    <row r="38" spans="32:33" x14ac:dyDescent="0.35">
      <c r="AF38" s="2" t="str">
        <f t="shared" si="1"/>
        <v/>
      </c>
      <c r="AG38" s="2" t="str">
        <f t="shared" si="2"/>
        <v/>
      </c>
    </row>
    <row r="39" spans="32:33" x14ac:dyDescent="0.35">
      <c r="AF39" s="2" t="str">
        <f t="shared" si="1"/>
        <v/>
      </c>
      <c r="AG39" s="2" t="str">
        <f t="shared" si="2"/>
        <v/>
      </c>
    </row>
    <row r="40" spans="32:33" x14ac:dyDescent="0.35">
      <c r="AF40" s="2" t="str">
        <f t="shared" si="1"/>
        <v/>
      </c>
      <c r="AG40" s="2" t="str">
        <f t="shared" si="2"/>
        <v/>
      </c>
    </row>
    <row r="41" spans="32:33" x14ac:dyDescent="0.35">
      <c r="AF41" s="2" t="str">
        <f t="shared" si="1"/>
        <v/>
      </c>
      <c r="AG41" s="2" t="str">
        <f t="shared" si="2"/>
        <v/>
      </c>
    </row>
    <row r="42" spans="32:33" x14ac:dyDescent="0.35">
      <c r="AF42" s="2" t="str">
        <f>IF(ISBLANK(F42),"",F42-U42)</f>
        <v/>
      </c>
      <c r="AG42" s="2" t="str">
        <f t="shared" si="2"/>
        <v/>
      </c>
    </row>
    <row r="43" spans="32:33" x14ac:dyDescent="0.35">
      <c r="AF43" s="2" t="str">
        <f>IF(ISBLANK(F43),"",F43-U43)</f>
        <v/>
      </c>
      <c r="AG43" s="2" t="str">
        <f t="shared" si="2"/>
        <v/>
      </c>
    </row>
    <row r="44" spans="32:33" x14ac:dyDescent="0.35">
      <c r="AF44" s="2" t="str">
        <f t="shared" si="1"/>
        <v/>
      </c>
      <c r="AG44" s="2" t="str">
        <f t="shared" si="2"/>
        <v/>
      </c>
    </row>
    <row r="45" spans="32:33" x14ac:dyDescent="0.35">
      <c r="AF45" s="2" t="str">
        <f t="shared" si="1"/>
        <v/>
      </c>
      <c r="AG45" s="2" t="str">
        <f t="shared" si="2"/>
        <v/>
      </c>
    </row>
    <row r="46" spans="32:33" x14ac:dyDescent="0.35">
      <c r="AF46" s="2" t="str">
        <f t="shared" si="1"/>
        <v/>
      </c>
      <c r="AG46" s="2" t="str">
        <f t="shared" si="2"/>
        <v/>
      </c>
    </row>
    <row r="47" spans="32:33" x14ac:dyDescent="0.35">
      <c r="AF47" s="2" t="str">
        <f t="shared" si="1"/>
        <v/>
      </c>
      <c r="AG47" s="2" t="str">
        <f t="shared" si="2"/>
        <v/>
      </c>
    </row>
    <row r="48" spans="32:33" x14ac:dyDescent="0.35">
      <c r="AF48" s="2" t="str">
        <f t="shared" si="1"/>
        <v/>
      </c>
      <c r="AG48" s="2" t="str">
        <f t="shared" si="2"/>
        <v/>
      </c>
    </row>
    <row r="49" spans="32:33" x14ac:dyDescent="0.35">
      <c r="AF49" s="2" t="str">
        <f t="shared" si="1"/>
        <v/>
      </c>
      <c r="AG49" s="2" t="str">
        <f t="shared" si="2"/>
        <v/>
      </c>
    </row>
    <row r="50" spans="32:33" x14ac:dyDescent="0.35">
      <c r="AF50" s="2" t="str">
        <f t="shared" si="1"/>
        <v/>
      </c>
      <c r="AG50" s="2" t="str">
        <f t="shared" si="2"/>
        <v/>
      </c>
    </row>
    <row r="51" spans="32:33" x14ac:dyDescent="0.35">
      <c r="AF51" s="2" t="str">
        <f t="shared" si="1"/>
        <v/>
      </c>
      <c r="AG51" s="2" t="str">
        <f t="shared" si="2"/>
        <v/>
      </c>
    </row>
    <row r="52" spans="32:33" x14ac:dyDescent="0.35">
      <c r="AF52" s="2" t="str">
        <f t="shared" si="1"/>
        <v/>
      </c>
      <c r="AG52" s="2" t="str">
        <f t="shared" si="2"/>
        <v/>
      </c>
    </row>
  </sheetData>
  <sortState xmlns:xlrd2="http://schemas.microsoft.com/office/spreadsheetml/2017/richdata2" ref="P2:AD8">
    <sortCondition ref="U2:U8"/>
  </sortState>
  <conditionalFormatting sqref="E2:E15 T2:T8">
    <cfRule type="cellIs" dxfId="78" priority="27" operator="equal">
      <formula>"nonR"</formula>
    </cfRule>
  </conditionalFormatting>
  <conditionalFormatting sqref="M2:M15 AB2:AB8">
    <cfRule type="colorScale" priority="26">
      <colorScale>
        <cfvo type="num" val="5"/>
        <cfvo type="num" val="11"/>
        <color theme="0"/>
        <color rgb="FF63BE7B"/>
      </colorScale>
    </cfRule>
  </conditionalFormatting>
  <conditionalFormatting sqref="E20">
    <cfRule type="cellIs" dxfId="76" priority="20" operator="equal">
      <formula>"nonR"</formula>
    </cfRule>
  </conditionalFormatting>
  <conditionalFormatting sqref="M20">
    <cfRule type="colorScale" priority="19">
      <colorScale>
        <cfvo type="num" val="5"/>
        <cfvo type="num" val="11"/>
        <color theme="0"/>
        <color rgb="FF63BE7B"/>
      </colorScale>
    </cfRule>
  </conditionalFormatting>
  <conditionalFormatting sqref="AD2:AD2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6">
    <cfRule type="cellIs" dxfId="74" priority="15" operator="equal">
      <formula>"nonR"</formula>
    </cfRule>
  </conditionalFormatting>
  <conditionalFormatting sqref="M26">
    <cfRule type="colorScale" priority="14">
      <colorScale>
        <cfvo type="num" val="5"/>
        <cfvo type="num" val="11"/>
        <color theme="0"/>
        <color rgb="FF63BE7B"/>
      </colorScale>
    </cfRule>
  </conditionalFormatting>
  <conditionalFormatting sqref="E25">
    <cfRule type="cellIs" dxfId="73" priority="13" operator="equal">
      <formula>"nonR"</formula>
    </cfRule>
  </conditionalFormatting>
  <conditionalFormatting sqref="M25">
    <cfRule type="colorScale" priority="12">
      <colorScale>
        <cfvo type="num" val="5"/>
        <cfvo type="num" val="11"/>
        <color theme="0"/>
        <color rgb="FF63BE7B"/>
      </colorScale>
    </cfRule>
  </conditionalFormatting>
  <conditionalFormatting sqref="E22">
    <cfRule type="cellIs" dxfId="72" priority="11" operator="equal">
      <formula>"nonR"</formula>
    </cfRule>
  </conditionalFormatting>
  <conditionalFormatting sqref="M22">
    <cfRule type="colorScale" priority="10">
      <colorScale>
        <cfvo type="num" val="5"/>
        <cfvo type="num" val="11"/>
        <color theme="0"/>
        <color rgb="FF63BE7B"/>
      </colorScale>
    </cfRule>
  </conditionalFormatting>
  <conditionalFormatting sqref="T20:T26">
    <cfRule type="cellIs" dxfId="71" priority="9" operator="equal">
      <formula>"nonR"</formula>
    </cfRule>
  </conditionalFormatting>
  <conditionalFormatting sqref="AB20:AB26">
    <cfRule type="colorScale" priority="8">
      <colorScale>
        <cfvo type="num" val="5"/>
        <cfvo type="num" val="11"/>
        <color theme="0"/>
        <color rgb="FF63BE7B"/>
      </colorScale>
    </cfRule>
  </conditionalFormatting>
  <conditionalFormatting sqref="E24">
    <cfRule type="cellIs" dxfId="69" priority="7" operator="equal">
      <formula>"nonR"</formula>
    </cfRule>
  </conditionalFormatting>
  <conditionalFormatting sqref="M24">
    <cfRule type="colorScale" priority="6">
      <colorScale>
        <cfvo type="num" val="5"/>
        <cfvo type="num" val="11"/>
        <color theme="0"/>
        <color rgb="FF63BE7B"/>
      </colorScale>
    </cfRule>
  </conditionalFormatting>
  <conditionalFormatting sqref="E23">
    <cfRule type="cellIs" dxfId="68" priority="5" operator="equal">
      <formula>"nonR"</formula>
    </cfRule>
  </conditionalFormatting>
  <conditionalFormatting sqref="M23">
    <cfRule type="colorScale" priority="4">
      <colorScale>
        <cfvo type="num" val="5"/>
        <cfvo type="num" val="11"/>
        <color theme="0"/>
        <color rgb="FF63BE7B"/>
      </colorScale>
    </cfRule>
  </conditionalFormatting>
  <conditionalFormatting sqref="E21">
    <cfRule type="cellIs" dxfId="67" priority="3" operator="equal">
      <formula>"nonR"</formula>
    </cfRule>
  </conditionalFormatting>
  <conditionalFormatting sqref="M21">
    <cfRule type="colorScale" priority="2">
      <colorScale>
        <cfvo type="num" val="5"/>
        <cfvo type="num" val="11"/>
        <color theme="0"/>
        <color rgb="FF63BE7B"/>
      </colorScale>
    </cfRule>
  </conditionalFormatting>
  <conditionalFormatting sqref="AG20:AG52">
    <cfRule type="colorScale" priority="1">
      <colorScale>
        <cfvo type="num" val="0"/>
        <cfvo type="num" val="1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90F8-A105-4F52-8D1F-F9073FF1B158}">
  <dimension ref="A1:AI87"/>
  <sheetViews>
    <sheetView topLeftCell="A47" workbookViewId="0">
      <selection activeCell="G86" sqref="G86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s="2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s="3" t="s">
        <v>155</v>
      </c>
    </row>
    <row r="2" spans="1:30" x14ac:dyDescent="0.35">
      <c r="A2" t="s">
        <v>120</v>
      </c>
      <c r="B2" t="s">
        <v>120</v>
      </c>
      <c r="C2" t="s">
        <v>32</v>
      </c>
      <c r="D2" t="s">
        <v>33</v>
      </c>
      <c r="E2" t="s">
        <v>34</v>
      </c>
      <c r="F2" s="2">
        <v>5.0212183436002702</v>
      </c>
      <c r="G2">
        <v>0</v>
      </c>
      <c r="H2">
        <v>15</v>
      </c>
      <c r="I2">
        <v>365</v>
      </c>
      <c r="J2" t="s">
        <v>35</v>
      </c>
      <c r="K2" t="s">
        <v>36</v>
      </c>
      <c r="L2">
        <v>67064</v>
      </c>
      <c r="M2">
        <v>5</v>
      </c>
      <c r="N2" t="s">
        <v>32</v>
      </c>
      <c r="P2" t="s">
        <v>131</v>
      </c>
      <c r="Q2" t="s">
        <v>131</v>
      </c>
      <c r="R2" t="s">
        <v>58</v>
      </c>
      <c r="S2" t="s">
        <v>33</v>
      </c>
      <c r="T2" t="s">
        <v>34</v>
      </c>
      <c r="U2" s="2">
        <v>5.14989733059548</v>
      </c>
      <c r="V2">
        <v>0</v>
      </c>
      <c r="W2">
        <v>12</v>
      </c>
      <c r="X2">
        <v>569</v>
      </c>
      <c r="Y2" t="s">
        <v>35</v>
      </c>
      <c r="Z2" t="s">
        <v>36</v>
      </c>
      <c r="AA2">
        <v>67064</v>
      </c>
      <c r="AB2">
        <v>5.0999999999999996</v>
      </c>
      <c r="AC2" t="s">
        <v>58</v>
      </c>
      <c r="AD2">
        <f>COUNTIFS(M$2:M$46,"&gt;"&amp;AB2 -1,M$2:M$46,"&lt;"&amp;AB2 +1)</f>
        <v>7</v>
      </c>
    </row>
    <row r="3" spans="1:30" x14ac:dyDescent="0.35">
      <c r="A3" t="s">
        <v>137</v>
      </c>
      <c r="B3" t="s">
        <v>137</v>
      </c>
      <c r="C3" t="s">
        <v>32</v>
      </c>
      <c r="D3" t="s">
        <v>33</v>
      </c>
      <c r="E3" t="s">
        <v>34</v>
      </c>
      <c r="F3" s="2">
        <v>5.0568104038329897</v>
      </c>
      <c r="G3">
        <v>10</v>
      </c>
      <c r="H3">
        <v>10</v>
      </c>
      <c r="I3">
        <v>167</v>
      </c>
      <c r="J3" t="s">
        <v>35</v>
      </c>
      <c r="K3" t="s">
        <v>36</v>
      </c>
      <c r="L3">
        <v>67064</v>
      </c>
      <c r="M3">
        <v>5.0999999999999996</v>
      </c>
      <c r="N3" t="s">
        <v>32</v>
      </c>
      <c r="P3" t="s">
        <v>124</v>
      </c>
      <c r="Q3" t="s">
        <v>124</v>
      </c>
      <c r="R3" t="s">
        <v>58</v>
      </c>
      <c r="S3" t="s">
        <v>33</v>
      </c>
      <c r="T3" t="s">
        <v>34</v>
      </c>
      <c r="U3" s="2">
        <v>5.7768651608487298</v>
      </c>
      <c r="V3">
        <v>10</v>
      </c>
      <c r="W3">
        <v>15</v>
      </c>
      <c r="X3">
        <v>1377</v>
      </c>
      <c r="Y3" t="s">
        <v>35</v>
      </c>
      <c r="Z3" t="s">
        <v>36</v>
      </c>
      <c r="AA3">
        <v>67064</v>
      </c>
      <c r="AB3">
        <v>5.8</v>
      </c>
      <c r="AC3" t="s">
        <v>58</v>
      </c>
      <c r="AD3">
        <f t="shared" ref="AD3:AD34" si="0">COUNTIFS(M$2:M$46,"&gt;"&amp;AB3 -1,M$2:M$46,"&lt;"&amp;AB3 +1)</f>
        <v>15</v>
      </c>
    </row>
    <row r="4" spans="1:30" x14ac:dyDescent="0.35">
      <c r="A4" t="s">
        <v>126</v>
      </c>
      <c r="B4" t="s">
        <v>126</v>
      </c>
      <c r="C4" t="s">
        <v>32</v>
      </c>
      <c r="D4" t="s">
        <v>33</v>
      </c>
      <c r="E4" t="s">
        <v>51</v>
      </c>
      <c r="F4" s="2">
        <v>5.21013004791239</v>
      </c>
      <c r="G4">
        <v>0</v>
      </c>
      <c r="H4">
        <v>20</v>
      </c>
      <c r="I4">
        <v>133</v>
      </c>
      <c r="J4" t="s">
        <v>35</v>
      </c>
      <c r="K4" t="s">
        <v>36</v>
      </c>
      <c r="L4">
        <v>67064</v>
      </c>
      <c r="M4">
        <v>5.2</v>
      </c>
      <c r="N4" t="s">
        <v>32</v>
      </c>
      <c r="P4" t="s">
        <v>123</v>
      </c>
      <c r="Q4" t="s">
        <v>123</v>
      </c>
      <c r="R4" t="s">
        <v>58</v>
      </c>
      <c r="S4" t="s">
        <v>33</v>
      </c>
      <c r="T4" t="s">
        <v>34</v>
      </c>
      <c r="U4" s="2">
        <v>5.9</v>
      </c>
      <c r="V4">
        <v>0</v>
      </c>
      <c r="W4">
        <v>22</v>
      </c>
      <c r="X4">
        <v>572</v>
      </c>
      <c r="Y4" t="s">
        <v>35</v>
      </c>
      <c r="Z4" t="s">
        <v>36</v>
      </c>
      <c r="AA4">
        <v>67064</v>
      </c>
      <c r="AB4">
        <v>5.9</v>
      </c>
      <c r="AC4" t="s">
        <v>58</v>
      </c>
      <c r="AD4">
        <f t="shared" si="0"/>
        <v>15</v>
      </c>
    </row>
    <row r="5" spans="1:30" x14ac:dyDescent="0.35">
      <c r="A5" t="s">
        <v>49</v>
      </c>
      <c r="B5" t="s">
        <v>49</v>
      </c>
      <c r="C5" t="s">
        <v>32</v>
      </c>
      <c r="D5" t="s">
        <v>33</v>
      </c>
      <c r="E5" t="s">
        <v>34</v>
      </c>
      <c r="F5" s="2">
        <v>5.7002053388090301</v>
      </c>
      <c r="G5">
        <v>0</v>
      </c>
      <c r="H5">
        <v>13</v>
      </c>
      <c r="I5">
        <v>111</v>
      </c>
      <c r="J5" t="s">
        <v>35</v>
      </c>
      <c r="K5" t="s">
        <v>36</v>
      </c>
      <c r="L5">
        <v>67064</v>
      </c>
      <c r="M5">
        <v>5.7</v>
      </c>
      <c r="N5" t="s">
        <v>37</v>
      </c>
      <c r="P5" t="s">
        <v>138</v>
      </c>
      <c r="Q5" t="s">
        <v>138</v>
      </c>
      <c r="R5" t="s">
        <v>58</v>
      </c>
      <c r="S5" t="s">
        <v>33</v>
      </c>
      <c r="T5" t="s">
        <v>34</v>
      </c>
      <c r="U5" s="2">
        <v>6.1108829568788501</v>
      </c>
      <c r="V5">
        <v>0</v>
      </c>
      <c r="W5">
        <v>16</v>
      </c>
      <c r="X5">
        <v>1678</v>
      </c>
      <c r="Y5" t="s">
        <v>35</v>
      </c>
      <c r="Z5" t="s">
        <v>36</v>
      </c>
      <c r="AA5">
        <v>67064</v>
      </c>
      <c r="AB5">
        <v>6.1</v>
      </c>
      <c r="AC5" t="s">
        <v>58</v>
      </c>
      <c r="AD5">
        <f t="shared" si="0"/>
        <v>14</v>
      </c>
    </row>
    <row r="6" spans="1:30" x14ac:dyDescent="0.35">
      <c r="A6" t="s">
        <v>113</v>
      </c>
      <c r="B6" t="s">
        <v>113</v>
      </c>
      <c r="C6" t="s">
        <v>32</v>
      </c>
      <c r="D6" t="s">
        <v>33</v>
      </c>
      <c r="E6" t="s">
        <v>34</v>
      </c>
      <c r="F6" s="2">
        <v>5.7768651608487298</v>
      </c>
      <c r="G6">
        <v>0</v>
      </c>
      <c r="H6">
        <v>21</v>
      </c>
      <c r="I6">
        <v>142</v>
      </c>
      <c r="J6" t="s">
        <v>35</v>
      </c>
      <c r="K6" t="s">
        <v>36</v>
      </c>
      <c r="L6">
        <v>67064</v>
      </c>
      <c r="M6">
        <v>5.8</v>
      </c>
      <c r="N6" t="s">
        <v>58</v>
      </c>
      <c r="P6" t="s">
        <v>70</v>
      </c>
      <c r="Q6" t="s">
        <v>70</v>
      </c>
      <c r="R6" t="s">
        <v>58</v>
      </c>
      <c r="S6" t="s">
        <v>33</v>
      </c>
      <c r="T6" t="s">
        <v>34</v>
      </c>
      <c r="U6" s="2">
        <v>6.2039698836413404</v>
      </c>
      <c r="V6">
        <v>0</v>
      </c>
      <c r="W6">
        <v>15</v>
      </c>
      <c r="X6">
        <v>1220</v>
      </c>
      <c r="Y6" t="s">
        <v>35</v>
      </c>
      <c r="Z6" t="s">
        <v>36</v>
      </c>
      <c r="AA6">
        <v>67064</v>
      </c>
      <c r="AB6">
        <v>6.2</v>
      </c>
      <c r="AC6" t="s">
        <v>58</v>
      </c>
      <c r="AD6">
        <f t="shared" si="0"/>
        <v>13</v>
      </c>
    </row>
    <row r="7" spans="1:30" x14ac:dyDescent="0.35">
      <c r="A7" t="s">
        <v>132</v>
      </c>
      <c r="B7" t="s">
        <v>132</v>
      </c>
      <c r="C7" t="s">
        <v>32</v>
      </c>
      <c r="D7" t="s">
        <v>33</v>
      </c>
      <c r="E7" t="s">
        <v>34</v>
      </c>
      <c r="F7" s="2">
        <v>5.8480492813141698</v>
      </c>
      <c r="G7">
        <v>10</v>
      </c>
      <c r="H7">
        <v>16</v>
      </c>
      <c r="I7">
        <v>197</v>
      </c>
      <c r="J7" t="s">
        <v>35</v>
      </c>
      <c r="K7" t="s">
        <v>36</v>
      </c>
      <c r="L7">
        <v>67064</v>
      </c>
      <c r="M7">
        <v>5.8</v>
      </c>
      <c r="N7" t="s">
        <v>32</v>
      </c>
      <c r="P7" t="s">
        <v>121</v>
      </c>
      <c r="Q7" t="s">
        <v>121</v>
      </c>
      <c r="R7" t="s">
        <v>58</v>
      </c>
      <c r="S7" t="s">
        <v>33</v>
      </c>
      <c r="T7" t="s">
        <v>34</v>
      </c>
      <c r="U7" s="2">
        <v>6.5270362765229297</v>
      </c>
      <c r="V7">
        <v>30</v>
      </c>
      <c r="W7">
        <v>24</v>
      </c>
      <c r="X7">
        <v>1076</v>
      </c>
      <c r="Y7" t="s">
        <v>35</v>
      </c>
      <c r="Z7" t="s">
        <v>36</v>
      </c>
      <c r="AA7">
        <v>67064</v>
      </c>
      <c r="AB7">
        <v>6.5</v>
      </c>
      <c r="AC7" t="s">
        <v>58</v>
      </c>
      <c r="AD7">
        <f t="shared" si="0"/>
        <v>15</v>
      </c>
    </row>
    <row r="8" spans="1:30" x14ac:dyDescent="0.35">
      <c r="A8" t="s">
        <v>78</v>
      </c>
      <c r="B8" t="s">
        <v>78</v>
      </c>
      <c r="C8" t="s">
        <v>32</v>
      </c>
      <c r="D8" t="s">
        <v>33</v>
      </c>
      <c r="E8" t="s">
        <v>34</v>
      </c>
      <c r="F8" s="2">
        <v>6.0451745379876796</v>
      </c>
      <c r="G8">
        <v>5</v>
      </c>
      <c r="H8">
        <v>17</v>
      </c>
      <c r="I8">
        <v>322</v>
      </c>
      <c r="J8" t="s">
        <v>35</v>
      </c>
      <c r="K8" t="s">
        <v>36</v>
      </c>
      <c r="L8">
        <v>67064</v>
      </c>
      <c r="M8">
        <v>6</v>
      </c>
      <c r="N8" t="s">
        <v>32</v>
      </c>
      <c r="P8" t="s">
        <v>122</v>
      </c>
      <c r="Q8" t="s">
        <v>122</v>
      </c>
      <c r="R8" t="s">
        <v>58</v>
      </c>
      <c r="S8" t="s">
        <v>33</v>
      </c>
      <c r="T8" t="s">
        <v>34</v>
      </c>
      <c r="U8" s="2">
        <v>6.5270362765229297</v>
      </c>
      <c r="V8">
        <v>40</v>
      </c>
      <c r="W8">
        <v>25</v>
      </c>
      <c r="X8">
        <v>1091</v>
      </c>
      <c r="Y8" t="s">
        <v>35</v>
      </c>
      <c r="Z8" t="s">
        <v>36</v>
      </c>
      <c r="AA8">
        <v>67064</v>
      </c>
      <c r="AB8">
        <v>6.5</v>
      </c>
      <c r="AC8" t="s">
        <v>58</v>
      </c>
      <c r="AD8">
        <f t="shared" si="0"/>
        <v>15</v>
      </c>
    </row>
    <row r="9" spans="1:30" x14ac:dyDescent="0.35">
      <c r="A9" t="s">
        <v>89</v>
      </c>
      <c r="B9" t="s">
        <v>89</v>
      </c>
      <c r="C9" t="s">
        <v>32</v>
      </c>
      <c r="D9" t="s">
        <v>33</v>
      </c>
      <c r="E9" t="s">
        <v>34</v>
      </c>
      <c r="F9" s="2">
        <v>6.1355236139630396</v>
      </c>
      <c r="G9">
        <v>0</v>
      </c>
      <c r="H9">
        <v>19</v>
      </c>
      <c r="I9">
        <v>157</v>
      </c>
      <c r="J9" t="s">
        <v>35</v>
      </c>
      <c r="K9" t="s">
        <v>36</v>
      </c>
      <c r="L9">
        <v>67064</v>
      </c>
      <c r="M9">
        <v>6.1</v>
      </c>
      <c r="N9" t="s">
        <v>32</v>
      </c>
      <c r="P9" t="s">
        <v>100</v>
      </c>
      <c r="Q9" t="s">
        <v>100</v>
      </c>
      <c r="R9" t="s">
        <v>58</v>
      </c>
      <c r="S9" t="s">
        <v>33</v>
      </c>
      <c r="T9" t="s">
        <v>34</v>
      </c>
      <c r="U9" s="2">
        <v>6.6721423682409302</v>
      </c>
      <c r="V9">
        <v>25</v>
      </c>
      <c r="W9">
        <v>30</v>
      </c>
      <c r="X9">
        <v>1533</v>
      </c>
      <c r="Y9" t="s">
        <v>35</v>
      </c>
      <c r="Z9" t="s">
        <v>36</v>
      </c>
      <c r="AA9">
        <v>67064</v>
      </c>
      <c r="AB9">
        <v>6.7</v>
      </c>
      <c r="AC9" t="s">
        <v>58</v>
      </c>
      <c r="AD9">
        <f t="shared" si="0"/>
        <v>15</v>
      </c>
    </row>
    <row r="10" spans="1:30" x14ac:dyDescent="0.35">
      <c r="A10" t="s">
        <v>94</v>
      </c>
      <c r="B10" t="s">
        <v>94</v>
      </c>
      <c r="C10" t="s">
        <v>32</v>
      </c>
      <c r="D10" t="s">
        <v>33</v>
      </c>
      <c r="E10" t="s">
        <v>34</v>
      </c>
      <c r="F10" s="2">
        <v>6.2149212867898704</v>
      </c>
      <c r="G10">
        <v>0</v>
      </c>
      <c r="H10">
        <v>9</v>
      </c>
      <c r="I10">
        <v>218</v>
      </c>
      <c r="J10" t="s">
        <v>35</v>
      </c>
      <c r="K10" t="s">
        <v>36</v>
      </c>
      <c r="L10">
        <v>67064</v>
      </c>
      <c r="M10">
        <v>6.2</v>
      </c>
      <c r="N10" t="s">
        <v>32</v>
      </c>
      <c r="P10" t="s">
        <v>110</v>
      </c>
      <c r="Q10" t="s">
        <v>110</v>
      </c>
      <c r="R10" t="s">
        <v>58</v>
      </c>
      <c r="S10" t="s">
        <v>33</v>
      </c>
      <c r="T10" t="s">
        <v>34</v>
      </c>
      <c r="U10" s="2">
        <v>6.8117727583846701</v>
      </c>
      <c r="V10">
        <v>30</v>
      </c>
      <c r="W10">
        <v>26</v>
      </c>
      <c r="X10">
        <v>1672</v>
      </c>
      <c r="Y10" t="s">
        <v>35</v>
      </c>
      <c r="Z10" t="s">
        <v>36</v>
      </c>
      <c r="AA10">
        <v>67064</v>
      </c>
      <c r="AB10">
        <v>6.8</v>
      </c>
      <c r="AC10" t="s">
        <v>58</v>
      </c>
      <c r="AD10">
        <f t="shared" si="0"/>
        <v>14</v>
      </c>
    </row>
    <row r="11" spans="1:30" x14ac:dyDescent="0.35">
      <c r="A11" t="s">
        <v>83</v>
      </c>
      <c r="B11" t="s">
        <v>83</v>
      </c>
      <c r="C11" t="s">
        <v>32</v>
      </c>
      <c r="D11" t="s">
        <v>33</v>
      </c>
      <c r="E11" t="s">
        <v>34</v>
      </c>
      <c r="F11" s="2">
        <v>6.2915811088295701</v>
      </c>
      <c r="G11">
        <v>20</v>
      </c>
      <c r="H11">
        <v>25</v>
      </c>
      <c r="I11">
        <v>151</v>
      </c>
      <c r="J11" t="s">
        <v>35</v>
      </c>
      <c r="K11" t="s">
        <v>36</v>
      </c>
      <c r="L11">
        <v>67064</v>
      </c>
      <c r="M11">
        <v>6.3</v>
      </c>
      <c r="N11" t="s">
        <v>32</v>
      </c>
      <c r="P11" t="s">
        <v>75</v>
      </c>
      <c r="Q11" t="s">
        <v>75</v>
      </c>
      <c r="R11" t="s">
        <v>58</v>
      </c>
      <c r="S11" t="s">
        <v>33</v>
      </c>
      <c r="T11" t="s">
        <v>34</v>
      </c>
      <c r="U11" s="2">
        <v>6.9</v>
      </c>
      <c r="V11">
        <v>15</v>
      </c>
      <c r="W11">
        <v>14</v>
      </c>
      <c r="X11">
        <v>372</v>
      </c>
      <c r="Y11" t="s">
        <v>76</v>
      </c>
      <c r="Z11" t="s">
        <v>36</v>
      </c>
      <c r="AA11">
        <v>67064</v>
      </c>
      <c r="AB11">
        <v>6.9</v>
      </c>
      <c r="AC11" t="s">
        <v>77</v>
      </c>
      <c r="AD11">
        <f t="shared" si="0"/>
        <v>16</v>
      </c>
    </row>
    <row r="12" spans="1:30" x14ac:dyDescent="0.35">
      <c r="A12" t="s">
        <v>52</v>
      </c>
      <c r="B12" t="s">
        <v>52</v>
      </c>
      <c r="C12" t="s">
        <v>32</v>
      </c>
      <c r="D12" t="s">
        <v>33</v>
      </c>
      <c r="E12" t="s">
        <v>34</v>
      </c>
      <c r="F12" s="2">
        <v>6.34907597535934</v>
      </c>
      <c r="G12">
        <v>0</v>
      </c>
      <c r="H12">
        <v>17</v>
      </c>
      <c r="I12">
        <v>117</v>
      </c>
      <c r="J12" t="s">
        <v>35</v>
      </c>
      <c r="K12" t="s">
        <v>36</v>
      </c>
      <c r="L12">
        <v>67064</v>
      </c>
      <c r="M12">
        <v>6.3</v>
      </c>
      <c r="N12" t="s">
        <v>32</v>
      </c>
      <c r="P12" t="s">
        <v>66</v>
      </c>
      <c r="Q12" t="s">
        <v>66</v>
      </c>
      <c r="R12" t="s">
        <v>58</v>
      </c>
      <c r="S12" t="s">
        <v>33</v>
      </c>
      <c r="T12" t="s">
        <v>34</v>
      </c>
      <c r="U12" s="2">
        <v>7.1786447638603699</v>
      </c>
      <c r="V12">
        <v>25</v>
      </c>
      <c r="W12">
        <v>30</v>
      </c>
      <c r="X12">
        <v>1497</v>
      </c>
      <c r="Y12" t="s">
        <v>35</v>
      </c>
      <c r="Z12" t="s">
        <v>36</v>
      </c>
      <c r="AA12">
        <v>67064</v>
      </c>
      <c r="AB12">
        <v>7.2</v>
      </c>
      <c r="AC12" t="s">
        <v>58</v>
      </c>
      <c r="AD12">
        <f t="shared" si="0"/>
        <v>17</v>
      </c>
    </row>
    <row r="13" spans="1:30" x14ac:dyDescent="0.35">
      <c r="A13" t="s">
        <v>98</v>
      </c>
      <c r="B13" t="s">
        <v>98</v>
      </c>
      <c r="C13" t="s">
        <v>32</v>
      </c>
      <c r="D13" t="s">
        <v>33</v>
      </c>
      <c r="E13" t="s">
        <v>34</v>
      </c>
      <c r="F13" s="2">
        <v>6.3928815879534602</v>
      </c>
      <c r="G13">
        <v>0</v>
      </c>
      <c r="H13">
        <v>16</v>
      </c>
      <c r="I13">
        <v>33</v>
      </c>
      <c r="J13" t="s">
        <v>35</v>
      </c>
      <c r="K13" t="s">
        <v>36</v>
      </c>
      <c r="L13">
        <v>67064</v>
      </c>
      <c r="M13">
        <v>6.4</v>
      </c>
      <c r="N13" t="s">
        <v>32</v>
      </c>
      <c r="P13" t="s">
        <v>87</v>
      </c>
      <c r="Q13" t="s">
        <v>87</v>
      </c>
      <c r="R13" t="s">
        <v>58</v>
      </c>
      <c r="S13" t="s">
        <v>33</v>
      </c>
      <c r="T13" t="s">
        <v>51</v>
      </c>
      <c r="U13" s="2">
        <v>7.4414784394250502</v>
      </c>
      <c r="V13">
        <v>0</v>
      </c>
      <c r="W13">
        <v>19</v>
      </c>
      <c r="X13">
        <v>899</v>
      </c>
      <c r="Y13" t="s">
        <v>35</v>
      </c>
      <c r="Z13" t="s">
        <v>36</v>
      </c>
      <c r="AA13">
        <v>67064</v>
      </c>
      <c r="AB13">
        <v>7.4</v>
      </c>
      <c r="AC13" t="s">
        <v>58</v>
      </c>
      <c r="AD13">
        <f t="shared" si="0"/>
        <v>14</v>
      </c>
    </row>
    <row r="14" spans="1:30" x14ac:dyDescent="0.35">
      <c r="A14" t="s">
        <v>67</v>
      </c>
      <c r="B14" t="s">
        <v>67</v>
      </c>
      <c r="C14" t="s">
        <v>32</v>
      </c>
      <c r="D14" t="s">
        <v>33</v>
      </c>
      <c r="E14" t="s">
        <v>34</v>
      </c>
      <c r="F14" s="2">
        <v>6.4147843942505096</v>
      </c>
      <c r="G14">
        <v>20</v>
      </c>
      <c r="H14">
        <v>21</v>
      </c>
      <c r="I14">
        <v>188</v>
      </c>
      <c r="J14" t="s">
        <v>35</v>
      </c>
      <c r="K14" t="s">
        <v>36</v>
      </c>
      <c r="L14">
        <v>67064</v>
      </c>
      <c r="M14">
        <v>6.4</v>
      </c>
      <c r="N14" t="s">
        <v>32</v>
      </c>
      <c r="P14" t="s">
        <v>107</v>
      </c>
      <c r="Q14" t="s">
        <v>107</v>
      </c>
      <c r="R14" t="s">
        <v>58</v>
      </c>
      <c r="S14" t="s">
        <v>33</v>
      </c>
      <c r="T14" t="s">
        <v>34</v>
      </c>
      <c r="U14" s="2">
        <v>7.7097878165639999</v>
      </c>
      <c r="V14">
        <v>30</v>
      </c>
      <c r="W14">
        <v>22</v>
      </c>
      <c r="X14">
        <v>1060</v>
      </c>
      <c r="Y14" t="s">
        <v>35</v>
      </c>
      <c r="Z14" t="s">
        <v>36</v>
      </c>
      <c r="AA14">
        <v>67064</v>
      </c>
      <c r="AB14">
        <v>7.7</v>
      </c>
      <c r="AC14" t="s">
        <v>58</v>
      </c>
      <c r="AD14">
        <f t="shared" si="0"/>
        <v>18</v>
      </c>
    </row>
    <row r="15" spans="1:30" x14ac:dyDescent="0.35">
      <c r="A15" t="s">
        <v>31</v>
      </c>
      <c r="B15" t="s">
        <v>31</v>
      </c>
      <c r="C15" t="s">
        <v>32</v>
      </c>
      <c r="D15" t="s">
        <v>33</v>
      </c>
      <c r="E15" t="s">
        <v>34</v>
      </c>
      <c r="F15" s="2">
        <v>6.4229979466119103</v>
      </c>
      <c r="G15">
        <v>0</v>
      </c>
      <c r="H15">
        <v>14</v>
      </c>
      <c r="I15">
        <v>53</v>
      </c>
      <c r="J15" t="s">
        <v>35</v>
      </c>
      <c r="K15" t="s">
        <v>36</v>
      </c>
      <c r="L15">
        <v>67064</v>
      </c>
      <c r="M15">
        <v>6.4</v>
      </c>
      <c r="N15" t="s">
        <v>37</v>
      </c>
      <c r="P15" t="s">
        <v>73</v>
      </c>
      <c r="Q15" t="s">
        <v>73</v>
      </c>
      <c r="R15" t="s">
        <v>58</v>
      </c>
      <c r="S15" t="s">
        <v>33</v>
      </c>
      <c r="T15" t="s">
        <v>51</v>
      </c>
      <c r="U15" s="2">
        <v>7.7426420260095803</v>
      </c>
      <c r="V15">
        <v>35</v>
      </c>
      <c r="W15">
        <v>34</v>
      </c>
      <c r="X15">
        <v>399</v>
      </c>
      <c r="Y15" t="s">
        <v>35</v>
      </c>
      <c r="Z15" t="s">
        <v>36</v>
      </c>
      <c r="AA15">
        <v>67064</v>
      </c>
      <c r="AB15">
        <v>7.7</v>
      </c>
      <c r="AC15" t="s">
        <v>58</v>
      </c>
      <c r="AD15">
        <f t="shared" si="0"/>
        <v>18</v>
      </c>
    </row>
    <row r="16" spans="1:30" x14ac:dyDescent="0.35">
      <c r="A16" t="s">
        <v>84</v>
      </c>
      <c r="B16" t="s">
        <v>84</v>
      </c>
      <c r="C16" t="s">
        <v>32</v>
      </c>
      <c r="D16" t="s">
        <v>33</v>
      </c>
      <c r="E16" t="s">
        <v>34</v>
      </c>
      <c r="F16" s="2">
        <v>6.6447638603696104</v>
      </c>
      <c r="G16">
        <v>10</v>
      </c>
      <c r="H16">
        <v>21</v>
      </c>
      <c r="I16">
        <v>144</v>
      </c>
      <c r="J16" t="s">
        <v>35</v>
      </c>
      <c r="K16" t="s">
        <v>36</v>
      </c>
      <c r="L16">
        <v>67064</v>
      </c>
      <c r="M16">
        <v>6.6</v>
      </c>
      <c r="N16" t="s">
        <v>32</v>
      </c>
      <c r="P16" t="s">
        <v>153</v>
      </c>
      <c r="Q16" t="s">
        <v>153</v>
      </c>
      <c r="R16" t="s">
        <v>58</v>
      </c>
      <c r="S16" t="s">
        <v>33</v>
      </c>
      <c r="T16" t="s">
        <v>34</v>
      </c>
      <c r="U16" s="2">
        <v>8.1642710472279294</v>
      </c>
      <c r="V16">
        <v>0</v>
      </c>
      <c r="W16">
        <v>24</v>
      </c>
      <c r="X16">
        <v>2286</v>
      </c>
      <c r="Y16" t="s">
        <v>35</v>
      </c>
      <c r="Z16" t="s">
        <v>36</v>
      </c>
      <c r="AA16">
        <v>67064</v>
      </c>
      <c r="AB16">
        <v>8.1999999999999993</v>
      </c>
      <c r="AC16" t="s">
        <v>58</v>
      </c>
      <c r="AD16">
        <f t="shared" si="0"/>
        <v>21</v>
      </c>
    </row>
    <row r="17" spans="1:30" x14ac:dyDescent="0.35">
      <c r="A17" t="s">
        <v>103</v>
      </c>
      <c r="B17" t="s">
        <v>103</v>
      </c>
      <c r="C17" t="s">
        <v>32</v>
      </c>
      <c r="D17" t="s">
        <v>33</v>
      </c>
      <c r="E17" t="s">
        <v>34</v>
      </c>
      <c r="F17" s="2">
        <v>6.8583162217659099</v>
      </c>
      <c r="G17">
        <v>0</v>
      </c>
      <c r="H17">
        <v>12</v>
      </c>
      <c r="I17">
        <v>360</v>
      </c>
      <c r="J17" t="s">
        <v>35</v>
      </c>
      <c r="K17" t="s">
        <v>36</v>
      </c>
      <c r="L17">
        <v>67064</v>
      </c>
      <c r="M17">
        <v>6.9</v>
      </c>
      <c r="N17" t="s">
        <v>32</v>
      </c>
      <c r="P17" t="s">
        <v>148</v>
      </c>
      <c r="Q17" t="s">
        <v>148</v>
      </c>
      <c r="R17" t="s">
        <v>58</v>
      </c>
      <c r="S17" t="s">
        <v>33</v>
      </c>
      <c r="T17" t="s">
        <v>34</v>
      </c>
      <c r="U17" s="2">
        <v>8.1670088980150606</v>
      </c>
      <c r="V17">
        <v>25</v>
      </c>
      <c r="W17">
        <v>25</v>
      </c>
      <c r="X17">
        <v>2983</v>
      </c>
      <c r="Y17" t="s">
        <v>35</v>
      </c>
      <c r="Z17" t="s">
        <v>36</v>
      </c>
      <c r="AA17">
        <v>67064</v>
      </c>
      <c r="AB17">
        <v>8.1999999999999993</v>
      </c>
      <c r="AC17" t="s">
        <v>58</v>
      </c>
      <c r="AD17">
        <f t="shared" si="0"/>
        <v>21</v>
      </c>
    </row>
    <row r="18" spans="1:30" x14ac:dyDescent="0.35">
      <c r="A18" t="s">
        <v>50</v>
      </c>
      <c r="B18" t="s">
        <v>50</v>
      </c>
      <c r="C18" t="s">
        <v>32</v>
      </c>
      <c r="D18" t="s">
        <v>33</v>
      </c>
      <c r="E18" t="s">
        <v>51</v>
      </c>
      <c r="F18" s="2">
        <v>7.2553045859000704</v>
      </c>
      <c r="G18">
        <v>0</v>
      </c>
      <c r="H18">
        <v>11</v>
      </c>
      <c r="I18">
        <v>159</v>
      </c>
      <c r="J18" t="s">
        <v>35</v>
      </c>
      <c r="K18" t="s">
        <v>36</v>
      </c>
      <c r="L18">
        <v>67064</v>
      </c>
      <c r="M18">
        <v>7.3</v>
      </c>
      <c r="N18" t="s">
        <v>37</v>
      </c>
      <c r="P18" t="s">
        <v>95</v>
      </c>
      <c r="Q18" t="s">
        <v>96</v>
      </c>
      <c r="R18" t="s">
        <v>58</v>
      </c>
      <c r="S18" t="s">
        <v>33</v>
      </c>
      <c r="T18" t="s">
        <v>34</v>
      </c>
      <c r="U18" s="2">
        <v>8.1724845995893194</v>
      </c>
      <c r="V18">
        <v>0</v>
      </c>
      <c r="W18">
        <v>14</v>
      </c>
      <c r="X18">
        <v>1546</v>
      </c>
      <c r="Y18" t="s">
        <v>35</v>
      </c>
      <c r="Z18" t="s">
        <v>36</v>
      </c>
      <c r="AA18">
        <v>67064</v>
      </c>
      <c r="AB18">
        <v>8.1999999999999993</v>
      </c>
      <c r="AC18" t="s">
        <v>58</v>
      </c>
      <c r="AD18">
        <f t="shared" si="0"/>
        <v>21</v>
      </c>
    </row>
    <row r="19" spans="1:30" x14ac:dyDescent="0.35">
      <c r="A19" t="s">
        <v>133</v>
      </c>
      <c r="B19" t="s">
        <v>133</v>
      </c>
      <c r="C19" t="s">
        <v>32</v>
      </c>
      <c r="D19" t="s">
        <v>33</v>
      </c>
      <c r="E19" t="s">
        <v>51</v>
      </c>
      <c r="F19" s="2">
        <v>7.2662559890485996</v>
      </c>
      <c r="G19">
        <v>0</v>
      </c>
      <c r="H19">
        <v>16</v>
      </c>
      <c r="I19">
        <v>344</v>
      </c>
      <c r="J19" t="s">
        <v>35</v>
      </c>
      <c r="K19" t="s">
        <v>36</v>
      </c>
      <c r="L19">
        <v>67064</v>
      </c>
      <c r="M19">
        <v>7.3</v>
      </c>
      <c r="N19" t="s">
        <v>32</v>
      </c>
      <c r="P19" t="s">
        <v>152</v>
      </c>
      <c r="Q19" t="s">
        <v>152</v>
      </c>
      <c r="R19" t="s">
        <v>58</v>
      </c>
      <c r="S19" t="s">
        <v>33</v>
      </c>
      <c r="T19" t="s">
        <v>34</v>
      </c>
      <c r="U19" s="2">
        <v>8.3449691991786406</v>
      </c>
      <c r="V19">
        <v>20</v>
      </c>
      <c r="W19">
        <v>30</v>
      </c>
      <c r="X19">
        <v>940</v>
      </c>
      <c r="Y19" t="s">
        <v>35</v>
      </c>
      <c r="Z19" t="s">
        <v>36</v>
      </c>
      <c r="AA19">
        <v>67064</v>
      </c>
      <c r="AB19">
        <v>8.3000000000000007</v>
      </c>
      <c r="AC19" t="s">
        <v>58</v>
      </c>
      <c r="AD19">
        <f t="shared" si="0"/>
        <v>20</v>
      </c>
    </row>
    <row r="20" spans="1:30" x14ac:dyDescent="0.35">
      <c r="A20" t="s">
        <v>112</v>
      </c>
      <c r="B20" t="s">
        <v>112</v>
      </c>
      <c r="C20" t="s">
        <v>32</v>
      </c>
      <c r="D20" t="s">
        <v>33</v>
      </c>
      <c r="E20" t="s">
        <v>34</v>
      </c>
      <c r="F20" s="2">
        <v>7.6057494866529796</v>
      </c>
      <c r="G20">
        <v>0</v>
      </c>
      <c r="H20">
        <v>12</v>
      </c>
      <c r="I20">
        <v>107</v>
      </c>
      <c r="J20" t="s">
        <v>35</v>
      </c>
      <c r="K20" t="s">
        <v>36</v>
      </c>
      <c r="L20">
        <v>67064</v>
      </c>
      <c r="M20">
        <v>7.6</v>
      </c>
      <c r="N20" t="s">
        <v>32</v>
      </c>
      <c r="P20" t="s">
        <v>127</v>
      </c>
      <c r="Q20" t="s">
        <v>127</v>
      </c>
      <c r="R20" t="s">
        <v>58</v>
      </c>
      <c r="S20" t="s">
        <v>33</v>
      </c>
      <c r="T20" t="s">
        <v>34</v>
      </c>
      <c r="U20" s="2">
        <v>8.5174537987679706</v>
      </c>
      <c r="V20">
        <v>5</v>
      </c>
      <c r="W20">
        <v>18</v>
      </c>
      <c r="X20">
        <v>2064</v>
      </c>
      <c r="Y20" t="s">
        <v>35</v>
      </c>
      <c r="Z20" t="s">
        <v>36</v>
      </c>
      <c r="AA20">
        <v>67064</v>
      </c>
      <c r="AB20">
        <v>8.5</v>
      </c>
      <c r="AC20" t="s">
        <v>58</v>
      </c>
      <c r="AD20">
        <f t="shared" si="0"/>
        <v>20</v>
      </c>
    </row>
    <row r="21" spans="1:30" x14ac:dyDescent="0.35">
      <c r="A21" t="s">
        <v>136</v>
      </c>
      <c r="B21" t="s">
        <v>136</v>
      </c>
      <c r="C21" t="s">
        <v>32</v>
      </c>
      <c r="D21" t="s">
        <v>33</v>
      </c>
      <c r="E21" t="s">
        <v>34</v>
      </c>
      <c r="F21" s="2">
        <v>7.7481177275838498</v>
      </c>
      <c r="G21">
        <v>0</v>
      </c>
      <c r="H21">
        <v>14</v>
      </c>
      <c r="I21">
        <v>224</v>
      </c>
      <c r="J21" t="s">
        <v>35</v>
      </c>
      <c r="K21" t="s">
        <v>36</v>
      </c>
      <c r="L21">
        <v>67064</v>
      </c>
      <c r="M21">
        <v>7.7</v>
      </c>
      <c r="N21" t="s">
        <v>32</v>
      </c>
      <c r="P21" t="s">
        <v>102</v>
      </c>
      <c r="Q21" t="s">
        <v>102</v>
      </c>
      <c r="R21" t="s">
        <v>58</v>
      </c>
      <c r="S21" t="s">
        <v>33</v>
      </c>
      <c r="T21" t="s">
        <v>34</v>
      </c>
      <c r="U21" s="2">
        <v>8.5475701574264207</v>
      </c>
      <c r="V21">
        <v>30</v>
      </c>
      <c r="W21">
        <v>24</v>
      </c>
      <c r="X21">
        <v>1656</v>
      </c>
      <c r="Y21" t="s">
        <v>35</v>
      </c>
      <c r="Z21" t="s">
        <v>36</v>
      </c>
      <c r="AA21">
        <v>67064</v>
      </c>
      <c r="AB21">
        <v>8.5</v>
      </c>
      <c r="AC21" t="s">
        <v>58</v>
      </c>
      <c r="AD21">
        <f t="shared" si="0"/>
        <v>20</v>
      </c>
    </row>
    <row r="22" spans="1:30" x14ac:dyDescent="0.35">
      <c r="A22" t="s">
        <v>69</v>
      </c>
      <c r="B22" t="s">
        <v>69</v>
      </c>
      <c r="C22" t="s">
        <v>32</v>
      </c>
      <c r="D22" t="s">
        <v>33</v>
      </c>
      <c r="E22" t="s">
        <v>34</v>
      </c>
      <c r="F22" s="2">
        <v>7.7700205338809001</v>
      </c>
      <c r="G22">
        <v>5</v>
      </c>
      <c r="H22">
        <v>21</v>
      </c>
      <c r="I22">
        <v>186</v>
      </c>
      <c r="J22" t="s">
        <v>35</v>
      </c>
      <c r="K22" t="s">
        <v>36</v>
      </c>
      <c r="L22">
        <v>67064</v>
      </c>
      <c r="M22">
        <v>7.8</v>
      </c>
      <c r="N22" t="s">
        <v>32</v>
      </c>
      <c r="P22" t="s">
        <v>64</v>
      </c>
      <c r="Q22" t="s">
        <v>64</v>
      </c>
      <c r="R22" t="s">
        <v>58</v>
      </c>
      <c r="S22" t="s">
        <v>33</v>
      </c>
      <c r="T22" t="s">
        <v>34</v>
      </c>
      <c r="U22" s="2">
        <v>8.6598220396988399</v>
      </c>
      <c r="V22">
        <v>20</v>
      </c>
      <c r="W22">
        <v>19</v>
      </c>
      <c r="X22">
        <v>401</v>
      </c>
      <c r="Y22" t="s">
        <v>35</v>
      </c>
      <c r="Z22" t="s">
        <v>36</v>
      </c>
      <c r="AA22">
        <v>67064</v>
      </c>
      <c r="AB22">
        <v>8.6999999999999993</v>
      </c>
      <c r="AC22" t="s">
        <v>58</v>
      </c>
      <c r="AD22">
        <f t="shared" si="0"/>
        <v>18</v>
      </c>
    </row>
    <row r="23" spans="1:30" x14ac:dyDescent="0.35">
      <c r="A23" t="s">
        <v>129</v>
      </c>
      <c r="B23" t="s">
        <v>129</v>
      </c>
      <c r="C23" t="s">
        <v>32</v>
      </c>
      <c r="D23" t="s">
        <v>33</v>
      </c>
      <c r="E23" t="s">
        <v>51</v>
      </c>
      <c r="F23" s="2">
        <v>7.7837097878165604</v>
      </c>
      <c r="G23">
        <v>0</v>
      </c>
      <c r="H23">
        <v>19</v>
      </c>
      <c r="I23">
        <v>42</v>
      </c>
      <c r="J23" t="s">
        <v>35</v>
      </c>
      <c r="K23" t="s">
        <v>36</v>
      </c>
      <c r="L23">
        <v>67064</v>
      </c>
      <c r="M23">
        <v>7.8</v>
      </c>
      <c r="N23" t="s">
        <v>32</v>
      </c>
      <c r="P23" t="s">
        <v>142</v>
      </c>
      <c r="Q23" t="s">
        <v>142</v>
      </c>
      <c r="R23" t="s">
        <v>58</v>
      </c>
      <c r="S23" t="s">
        <v>33</v>
      </c>
      <c r="T23" t="s">
        <v>34</v>
      </c>
      <c r="U23" s="2">
        <v>8.8815879534565401</v>
      </c>
      <c r="V23">
        <v>10</v>
      </c>
      <c r="W23">
        <v>22</v>
      </c>
      <c r="X23">
        <v>971</v>
      </c>
      <c r="Y23" t="s">
        <v>35</v>
      </c>
      <c r="Z23" t="s">
        <v>36</v>
      </c>
      <c r="AA23">
        <v>67064</v>
      </c>
      <c r="AB23">
        <v>8.9</v>
      </c>
      <c r="AC23" t="s">
        <v>58</v>
      </c>
      <c r="AD23">
        <f t="shared" si="0"/>
        <v>16</v>
      </c>
    </row>
    <row r="24" spans="1:30" x14ac:dyDescent="0.35">
      <c r="A24" t="s">
        <v>85</v>
      </c>
      <c r="B24" t="s">
        <v>85</v>
      </c>
      <c r="C24" t="s">
        <v>32</v>
      </c>
      <c r="D24" t="s">
        <v>33</v>
      </c>
      <c r="E24" t="s">
        <v>34</v>
      </c>
      <c r="F24" s="2">
        <v>7.8959616700889796</v>
      </c>
      <c r="G24">
        <v>0</v>
      </c>
      <c r="H24">
        <v>7</v>
      </c>
      <c r="I24">
        <v>101</v>
      </c>
      <c r="J24" t="s">
        <v>35</v>
      </c>
      <c r="K24" t="s">
        <v>36</v>
      </c>
      <c r="L24">
        <v>67064</v>
      </c>
      <c r="M24">
        <v>7.9</v>
      </c>
      <c r="N24" t="s">
        <v>32</v>
      </c>
      <c r="P24" t="s">
        <v>149</v>
      </c>
      <c r="Q24" t="s">
        <v>149</v>
      </c>
      <c r="R24" t="s">
        <v>58</v>
      </c>
      <c r="S24" t="s">
        <v>33</v>
      </c>
      <c r="T24" t="s">
        <v>34</v>
      </c>
      <c r="U24" s="2">
        <v>9.0239561943874094</v>
      </c>
      <c r="V24">
        <v>30</v>
      </c>
      <c r="W24">
        <v>30</v>
      </c>
      <c r="X24">
        <v>2019</v>
      </c>
      <c r="Y24" t="s">
        <v>35</v>
      </c>
      <c r="Z24" t="s">
        <v>36</v>
      </c>
      <c r="AA24">
        <v>67064</v>
      </c>
      <c r="AB24">
        <v>9</v>
      </c>
      <c r="AC24" t="s">
        <v>58</v>
      </c>
      <c r="AD24">
        <f t="shared" si="0"/>
        <v>16</v>
      </c>
    </row>
    <row r="25" spans="1:30" x14ac:dyDescent="0.35">
      <c r="A25" t="s">
        <v>105</v>
      </c>
      <c r="B25" t="s">
        <v>105</v>
      </c>
      <c r="C25" t="s">
        <v>32</v>
      </c>
      <c r="D25" t="s">
        <v>33</v>
      </c>
      <c r="E25" t="s">
        <v>34</v>
      </c>
      <c r="F25" s="2">
        <v>8.0739219712525703</v>
      </c>
      <c r="G25">
        <v>0</v>
      </c>
      <c r="H25">
        <v>12</v>
      </c>
      <c r="I25">
        <v>144</v>
      </c>
      <c r="J25" t="s">
        <v>35</v>
      </c>
      <c r="K25" t="s">
        <v>36</v>
      </c>
      <c r="L25">
        <v>67064</v>
      </c>
      <c r="M25">
        <v>8.1</v>
      </c>
      <c r="N25" t="s">
        <v>32</v>
      </c>
      <c r="P25" t="s">
        <v>74</v>
      </c>
      <c r="Q25" t="s">
        <v>74</v>
      </c>
      <c r="R25" t="s">
        <v>58</v>
      </c>
      <c r="S25" t="s">
        <v>33</v>
      </c>
      <c r="T25" t="s">
        <v>34</v>
      </c>
      <c r="U25" s="2">
        <v>9.0732375085557795</v>
      </c>
      <c r="V25">
        <v>0</v>
      </c>
      <c r="W25">
        <v>19</v>
      </c>
      <c r="X25">
        <v>1507</v>
      </c>
      <c r="Y25" t="s">
        <v>35</v>
      </c>
      <c r="Z25" t="s">
        <v>36</v>
      </c>
      <c r="AA25">
        <v>67064</v>
      </c>
      <c r="AB25">
        <v>9.1</v>
      </c>
      <c r="AC25" t="s">
        <v>58</v>
      </c>
      <c r="AD25">
        <f t="shared" si="0"/>
        <v>14</v>
      </c>
    </row>
    <row r="26" spans="1:30" x14ac:dyDescent="0.35">
      <c r="A26" t="s">
        <v>88</v>
      </c>
      <c r="B26" t="s">
        <v>88</v>
      </c>
      <c r="C26" t="s">
        <v>32</v>
      </c>
      <c r="D26" t="s">
        <v>33</v>
      </c>
      <c r="E26" t="s">
        <v>34</v>
      </c>
      <c r="F26" s="2">
        <v>8.0821355236139603</v>
      </c>
      <c r="G26">
        <v>0</v>
      </c>
      <c r="H26">
        <v>10</v>
      </c>
      <c r="I26">
        <v>76</v>
      </c>
      <c r="J26" t="s">
        <v>35</v>
      </c>
      <c r="K26" t="s">
        <v>36</v>
      </c>
      <c r="L26">
        <v>67064</v>
      </c>
      <c r="M26">
        <v>8.1</v>
      </c>
      <c r="N26" t="s">
        <v>32</v>
      </c>
      <c r="P26" t="s">
        <v>135</v>
      </c>
      <c r="Q26" t="s">
        <v>135</v>
      </c>
      <c r="R26" t="s">
        <v>58</v>
      </c>
      <c r="S26" t="s">
        <v>33</v>
      </c>
      <c r="T26" t="s">
        <v>34</v>
      </c>
      <c r="U26" s="2">
        <v>9.3141683778234103</v>
      </c>
      <c r="V26">
        <v>10</v>
      </c>
      <c r="W26">
        <v>23</v>
      </c>
      <c r="X26">
        <v>1973</v>
      </c>
      <c r="Y26" t="s">
        <v>35</v>
      </c>
      <c r="Z26" t="s">
        <v>36</v>
      </c>
      <c r="AA26">
        <v>67064</v>
      </c>
      <c r="AB26">
        <v>9.3000000000000007</v>
      </c>
      <c r="AC26" t="s">
        <v>58</v>
      </c>
      <c r="AD26">
        <f t="shared" si="0"/>
        <v>12</v>
      </c>
    </row>
    <row r="27" spans="1:30" x14ac:dyDescent="0.35">
      <c r="A27" t="s">
        <v>144</v>
      </c>
      <c r="B27" t="s">
        <v>144</v>
      </c>
      <c r="C27" t="s">
        <v>32</v>
      </c>
      <c r="D27" t="s">
        <v>33</v>
      </c>
      <c r="E27" t="s">
        <v>34</v>
      </c>
      <c r="F27" s="2">
        <v>8.1380262249827506</v>
      </c>
      <c r="G27">
        <v>10</v>
      </c>
      <c r="H27">
        <v>21</v>
      </c>
      <c r="I27">
        <v>179</v>
      </c>
      <c r="J27" t="s">
        <v>35</v>
      </c>
      <c r="K27" t="s">
        <v>36</v>
      </c>
      <c r="L27">
        <v>67064</v>
      </c>
      <c r="M27">
        <v>8.1</v>
      </c>
      <c r="N27" t="s">
        <v>32</v>
      </c>
      <c r="P27" t="s">
        <v>151</v>
      </c>
      <c r="Q27" t="s">
        <v>151</v>
      </c>
      <c r="R27" t="s">
        <v>58</v>
      </c>
      <c r="S27" t="s">
        <v>33</v>
      </c>
      <c r="T27" t="s">
        <v>51</v>
      </c>
      <c r="U27" s="2">
        <v>9.4565366187542796</v>
      </c>
      <c r="V27">
        <v>0</v>
      </c>
      <c r="W27">
        <v>16</v>
      </c>
      <c r="X27">
        <v>1751</v>
      </c>
      <c r="Y27" t="s">
        <v>35</v>
      </c>
      <c r="Z27" t="s">
        <v>36</v>
      </c>
      <c r="AA27">
        <v>67064</v>
      </c>
      <c r="AB27">
        <v>9.5</v>
      </c>
      <c r="AC27" t="s">
        <v>58</v>
      </c>
      <c r="AD27">
        <f t="shared" si="0"/>
        <v>10</v>
      </c>
    </row>
    <row r="28" spans="1:30" x14ac:dyDescent="0.35">
      <c r="A28" t="s">
        <v>99</v>
      </c>
      <c r="B28" t="s">
        <v>99</v>
      </c>
      <c r="C28" t="s">
        <v>32</v>
      </c>
      <c r="D28" t="s">
        <v>33</v>
      </c>
      <c r="E28" t="s">
        <v>51</v>
      </c>
      <c r="F28" s="2">
        <v>8.2080766598220407</v>
      </c>
      <c r="G28">
        <v>10</v>
      </c>
      <c r="H28">
        <v>17</v>
      </c>
      <c r="I28">
        <v>309</v>
      </c>
      <c r="J28" t="s">
        <v>35</v>
      </c>
      <c r="K28" t="s">
        <v>36</v>
      </c>
      <c r="L28">
        <v>67064</v>
      </c>
      <c r="M28">
        <v>8.1999999999999993</v>
      </c>
      <c r="N28" t="s">
        <v>32</v>
      </c>
      <c r="P28" t="s">
        <v>57</v>
      </c>
      <c r="Q28" t="s">
        <v>57</v>
      </c>
      <c r="R28" t="s">
        <v>58</v>
      </c>
      <c r="S28" t="s">
        <v>33</v>
      </c>
      <c r="T28" t="s">
        <v>34</v>
      </c>
      <c r="U28" s="2">
        <v>9.6180698151950708</v>
      </c>
      <c r="V28">
        <v>5</v>
      </c>
      <c r="W28">
        <v>15</v>
      </c>
      <c r="X28">
        <v>2104</v>
      </c>
      <c r="Y28" t="s">
        <v>35</v>
      </c>
      <c r="Z28" t="s">
        <v>36</v>
      </c>
      <c r="AA28">
        <v>67064</v>
      </c>
      <c r="AB28">
        <v>9.6</v>
      </c>
      <c r="AC28" t="s">
        <v>58</v>
      </c>
      <c r="AD28">
        <f t="shared" si="0"/>
        <v>9</v>
      </c>
    </row>
    <row r="29" spans="1:30" x14ac:dyDescent="0.35">
      <c r="A29" t="s">
        <v>119</v>
      </c>
      <c r="B29" t="s">
        <v>119</v>
      </c>
      <c r="C29" t="s">
        <v>32</v>
      </c>
      <c r="D29" t="s">
        <v>33</v>
      </c>
      <c r="E29" t="s">
        <v>34</v>
      </c>
      <c r="F29" s="2">
        <v>8.2655715263518097</v>
      </c>
      <c r="G29">
        <v>10</v>
      </c>
      <c r="H29">
        <v>17</v>
      </c>
      <c r="I29">
        <v>121</v>
      </c>
      <c r="J29" t="s">
        <v>35</v>
      </c>
      <c r="K29" t="s">
        <v>36</v>
      </c>
      <c r="L29">
        <v>67064</v>
      </c>
      <c r="M29">
        <v>8.3000000000000007</v>
      </c>
      <c r="N29" t="s">
        <v>32</v>
      </c>
      <c r="P29" t="s">
        <v>101</v>
      </c>
      <c r="Q29" t="s">
        <v>101</v>
      </c>
      <c r="R29" t="s">
        <v>58</v>
      </c>
      <c r="S29" t="s">
        <v>33</v>
      </c>
      <c r="T29" t="s">
        <v>34</v>
      </c>
      <c r="U29" s="2">
        <v>9.8000000000000007</v>
      </c>
      <c r="V29">
        <v>0</v>
      </c>
      <c r="W29">
        <v>22</v>
      </c>
      <c r="X29">
        <v>2426</v>
      </c>
      <c r="Y29" t="s">
        <v>35</v>
      </c>
      <c r="Z29" t="s">
        <v>36</v>
      </c>
      <c r="AA29">
        <v>67064</v>
      </c>
      <c r="AB29">
        <v>9.8000000000000007</v>
      </c>
      <c r="AC29" t="s">
        <v>58</v>
      </c>
      <c r="AD29">
        <f t="shared" si="0"/>
        <v>9</v>
      </c>
    </row>
    <row r="30" spans="1:30" x14ac:dyDescent="0.35">
      <c r="A30" t="s">
        <v>46</v>
      </c>
      <c r="B30" t="s">
        <v>46</v>
      </c>
      <c r="C30" t="s">
        <v>32</v>
      </c>
      <c r="D30" t="s">
        <v>33</v>
      </c>
      <c r="E30" t="s">
        <v>34</v>
      </c>
      <c r="F30" s="2">
        <v>8.3887748117727607</v>
      </c>
      <c r="G30">
        <v>10</v>
      </c>
      <c r="H30">
        <v>19</v>
      </c>
      <c r="I30">
        <v>112</v>
      </c>
      <c r="J30" t="s">
        <v>35</v>
      </c>
      <c r="K30" t="s">
        <v>36</v>
      </c>
      <c r="L30">
        <v>67064</v>
      </c>
      <c r="M30">
        <v>8.4</v>
      </c>
      <c r="N30" t="s">
        <v>37</v>
      </c>
      <c r="P30" t="s">
        <v>150</v>
      </c>
      <c r="Q30" t="s">
        <v>150</v>
      </c>
      <c r="R30" t="s">
        <v>58</v>
      </c>
      <c r="S30" t="s">
        <v>33</v>
      </c>
      <c r="T30" t="s">
        <v>34</v>
      </c>
      <c r="U30" s="2">
        <v>9.9904175222450409</v>
      </c>
      <c r="V30">
        <v>0</v>
      </c>
      <c r="W30">
        <v>26</v>
      </c>
      <c r="X30">
        <v>2554</v>
      </c>
      <c r="Y30" t="s">
        <v>35</v>
      </c>
      <c r="Z30" t="s">
        <v>36</v>
      </c>
      <c r="AA30">
        <v>67064</v>
      </c>
      <c r="AB30">
        <v>10</v>
      </c>
      <c r="AC30" t="s">
        <v>58</v>
      </c>
      <c r="AD30">
        <f t="shared" si="0"/>
        <v>8</v>
      </c>
    </row>
    <row r="31" spans="1:30" x14ac:dyDescent="0.35">
      <c r="A31" t="s">
        <v>65</v>
      </c>
      <c r="B31" t="s">
        <v>65</v>
      </c>
      <c r="C31" t="s">
        <v>32</v>
      </c>
      <c r="D31" t="s">
        <v>33</v>
      </c>
      <c r="E31" t="s">
        <v>34</v>
      </c>
      <c r="F31" s="2">
        <v>8.3915126625598901</v>
      </c>
      <c r="G31">
        <v>20</v>
      </c>
      <c r="H31">
        <v>22</v>
      </c>
      <c r="I31">
        <v>131</v>
      </c>
      <c r="J31" t="s">
        <v>35</v>
      </c>
      <c r="K31" t="s">
        <v>36</v>
      </c>
      <c r="L31">
        <v>67064</v>
      </c>
      <c r="M31">
        <v>8.4</v>
      </c>
      <c r="N31" t="s">
        <v>32</v>
      </c>
      <c r="P31" t="s">
        <v>147</v>
      </c>
      <c r="Q31" t="s">
        <v>147</v>
      </c>
      <c r="R31" t="s">
        <v>58</v>
      </c>
      <c r="S31" t="s">
        <v>33</v>
      </c>
      <c r="T31" t="s">
        <v>51</v>
      </c>
      <c r="U31" s="2">
        <v>10.652977412731</v>
      </c>
      <c r="V31">
        <v>10</v>
      </c>
      <c r="W31">
        <v>19</v>
      </c>
      <c r="X31">
        <v>931</v>
      </c>
      <c r="Y31" t="s">
        <v>35</v>
      </c>
      <c r="Z31" t="s">
        <v>36</v>
      </c>
      <c r="AA31">
        <v>67064</v>
      </c>
      <c r="AB31">
        <v>10.7</v>
      </c>
      <c r="AC31" t="s">
        <v>58</v>
      </c>
      <c r="AD31">
        <f t="shared" si="0"/>
        <v>6</v>
      </c>
    </row>
    <row r="32" spans="1:30" x14ac:dyDescent="0.35">
      <c r="A32" t="s">
        <v>128</v>
      </c>
      <c r="B32" t="s">
        <v>128</v>
      </c>
      <c r="C32" t="s">
        <v>32</v>
      </c>
      <c r="D32" t="s">
        <v>33</v>
      </c>
      <c r="E32" t="s">
        <v>34</v>
      </c>
      <c r="F32" s="2">
        <v>8.3997262149212908</v>
      </c>
      <c r="G32">
        <v>10</v>
      </c>
      <c r="H32">
        <v>12</v>
      </c>
      <c r="I32">
        <v>115</v>
      </c>
      <c r="J32" t="s">
        <v>35</v>
      </c>
      <c r="K32" t="s">
        <v>36</v>
      </c>
      <c r="L32">
        <v>67064</v>
      </c>
      <c r="M32">
        <v>8.4</v>
      </c>
      <c r="N32" t="s">
        <v>32</v>
      </c>
      <c r="P32" t="s">
        <v>81</v>
      </c>
      <c r="Q32" t="s">
        <v>81</v>
      </c>
      <c r="R32" t="s">
        <v>58</v>
      </c>
      <c r="S32" t="s">
        <v>33</v>
      </c>
      <c r="T32" t="s">
        <v>51</v>
      </c>
      <c r="U32" s="2">
        <v>10.7323750855578</v>
      </c>
      <c r="V32">
        <v>10</v>
      </c>
      <c r="W32">
        <v>13</v>
      </c>
      <c r="X32">
        <v>907</v>
      </c>
      <c r="Y32" t="s">
        <v>35</v>
      </c>
      <c r="Z32" t="s">
        <v>36</v>
      </c>
      <c r="AA32">
        <v>67064</v>
      </c>
      <c r="AB32">
        <v>10.7</v>
      </c>
      <c r="AC32" t="s">
        <v>77</v>
      </c>
      <c r="AD32">
        <f>COUNTIFS(M$2:M$46,"&gt;"&amp;AB32 -1,M$2:M$46,"&lt;"&amp;AB32 +1)</f>
        <v>6</v>
      </c>
    </row>
    <row r="33" spans="1:30" x14ac:dyDescent="0.35">
      <c r="A33" t="s">
        <v>145</v>
      </c>
      <c r="B33" t="s">
        <v>145</v>
      </c>
      <c r="C33" t="s">
        <v>32</v>
      </c>
      <c r="D33" t="s">
        <v>33</v>
      </c>
      <c r="E33" t="s">
        <v>51</v>
      </c>
      <c r="F33" s="2">
        <v>8.4024640657084202</v>
      </c>
      <c r="G33">
        <v>10</v>
      </c>
      <c r="H33">
        <v>22</v>
      </c>
      <c r="I33">
        <v>199</v>
      </c>
      <c r="J33" t="s">
        <v>35</v>
      </c>
      <c r="K33" t="s">
        <v>36</v>
      </c>
      <c r="L33">
        <v>67064</v>
      </c>
      <c r="M33">
        <v>8.4</v>
      </c>
      <c r="N33" t="s">
        <v>32</v>
      </c>
      <c r="P33" t="s">
        <v>109</v>
      </c>
      <c r="Q33" t="s">
        <v>109</v>
      </c>
      <c r="R33" t="s">
        <v>58</v>
      </c>
      <c r="S33" t="s">
        <v>33</v>
      </c>
      <c r="T33" t="s">
        <v>34</v>
      </c>
      <c r="U33" s="2">
        <v>10.8829568788501</v>
      </c>
      <c r="V33">
        <v>0</v>
      </c>
      <c r="W33">
        <v>11</v>
      </c>
      <c r="X33">
        <v>1921</v>
      </c>
      <c r="Y33" t="s">
        <v>35</v>
      </c>
      <c r="Z33" t="s">
        <v>36</v>
      </c>
      <c r="AA33">
        <v>67064</v>
      </c>
      <c r="AB33">
        <v>10.9</v>
      </c>
      <c r="AC33" t="s">
        <v>58</v>
      </c>
      <c r="AD33">
        <f t="shared" si="0"/>
        <v>6</v>
      </c>
    </row>
    <row r="34" spans="1:30" x14ac:dyDescent="0.35">
      <c r="A34" t="s">
        <v>56</v>
      </c>
      <c r="B34" t="s">
        <v>56</v>
      </c>
      <c r="C34" t="s">
        <v>32</v>
      </c>
      <c r="D34" t="s">
        <v>33</v>
      </c>
      <c r="E34" t="s">
        <v>34</v>
      </c>
      <c r="F34" s="2">
        <v>8.6406570841889092</v>
      </c>
      <c r="G34">
        <v>5</v>
      </c>
      <c r="H34">
        <v>24</v>
      </c>
      <c r="I34">
        <v>95</v>
      </c>
      <c r="J34" t="s">
        <v>35</v>
      </c>
      <c r="K34" t="s">
        <v>36</v>
      </c>
      <c r="L34">
        <v>67064</v>
      </c>
      <c r="M34">
        <v>8.6</v>
      </c>
      <c r="N34" t="s">
        <v>32</v>
      </c>
      <c r="P34" t="s">
        <v>116</v>
      </c>
      <c r="Q34" t="s">
        <v>116</v>
      </c>
      <c r="R34" t="s">
        <v>58</v>
      </c>
      <c r="S34" t="s">
        <v>33</v>
      </c>
      <c r="T34" t="s">
        <v>34</v>
      </c>
      <c r="U34" s="2">
        <v>10.984257357974</v>
      </c>
      <c r="V34">
        <v>5</v>
      </c>
      <c r="W34">
        <v>29</v>
      </c>
      <c r="X34">
        <v>1767</v>
      </c>
      <c r="Y34" t="s">
        <v>35</v>
      </c>
      <c r="Z34" t="s">
        <v>36</v>
      </c>
      <c r="AA34">
        <v>67064</v>
      </c>
      <c r="AB34">
        <v>11</v>
      </c>
      <c r="AC34" t="s">
        <v>58</v>
      </c>
      <c r="AD34">
        <f t="shared" si="0"/>
        <v>5</v>
      </c>
    </row>
    <row r="35" spans="1:30" x14ac:dyDescent="0.35">
      <c r="A35" t="s">
        <v>86</v>
      </c>
      <c r="B35" t="s">
        <v>86</v>
      </c>
      <c r="C35" t="s">
        <v>32</v>
      </c>
      <c r="D35" t="s">
        <v>33</v>
      </c>
      <c r="E35" t="s">
        <v>34</v>
      </c>
      <c r="F35" s="2">
        <v>8.7556468172484596</v>
      </c>
      <c r="G35">
        <v>0</v>
      </c>
      <c r="H35">
        <v>13</v>
      </c>
      <c r="I35">
        <v>82</v>
      </c>
      <c r="J35" t="s">
        <v>35</v>
      </c>
      <c r="K35" t="s">
        <v>36</v>
      </c>
      <c r="L35">
        <v>67064</v>
      </c>
      <c r="M35">
        <v>8.8000000000000007</v>
      </c>
      <c r="N35" t="s">
        <v>32</v>
      </c>
    </row>
    <row r="36" spans="1:30" x14ac:dyDescent="0.35">
      <c r="A36" t="s">
        <v>111</v>
      </c>
      <c r="B36" t="s">
        <v>111</v>
      </c>
      <c r="C36" t="s">
        <v>32</v>
      </c>
      <c r="D36" t="s">
        <v>33</v>
      </c>
      <c r="E36" t="s">
        <v>51</v>
      </c>
      <c r="F36" s="2">
        <v>8.7720739219712502</v>
      </c>
      <c r="G36">
        <v>0</v>
      </c>
      <c r="H36">
        <v>17</v>
      </c>
      <c r="I36">
        <v>75</v>
      </c>
      <c r="J36" t="s">
        <v>35</v>
      </c>
      <c r="K36" t="s">
        <v>36</v>
      </c>
      <c r="L36">
        <v>67064</v>
      </c>
      <c r="M36">
        <v>8.8000000000000007</v>
      </c>
      <c r="N36" t="s">
        <v>32</v>
      </c>
    </row>
    <row r="37" spans="1:30" x14ac:dyDescent="0.35">
      <c r="A37" t="s">
        <v>130</v>
      </c>
      <c r="B37" t="s">
        <v>130</v>
      </c>
      <c r="C37" t="s">
        <v>32</v>
      </c>
      <c r="D37" t="s">
        <v>33</v>
      </c>
      <c r="E37" t="s">
        <v>34</v>
      </c>
      <c r="F37" s="2">
        <v>8.9363449691991796</v>
      </c>
      <c r="G37">
        <v>0</v>
      </c>
      <c r="H37">
        <v>23</v>
      </c>
      <c r="I37">
        <v>297</v>
      </c>
      <c r="J37" t="s">
        <v>35</v>
      </c>
      <c r="K37" t="s">
        <v>36</v>
      </c>
      <c r="L37">
        <v>67064</v>
      </c>
      <c r="M37">
        <v>8.9</v>
      </c>
      <c r="N37" t="s">
        <v>32</v>
      </c>
    </row>
    <row r="38" spans="1:30" x14ac:dyDescent="0.35">
      <c r="A38" t="s">
        <v>118</v>
      </c>
      <c r="B38" t="s">
        <v>118</v>
      </c>
      <c r="C38" t="s">
        <v>32</v>
      </c>
      <c r="D38" t="s">
        <v>33</v>
      </c>
      <c r="E38" t="s">
        <v>34</v>
      </c>
      <c r="F38" s="2">
        <v>9.1060917180013696</v>
      </c>
      <c r="G38">
        <v>0</v>
      </c>
      <c r="H38">
        <v>14</v>
      </c>
      <c r="I38">
        <v>271</v>
      </c>
      <c r="J38" t="s">
        <v>35</v>
      </c>
      <c r="K38" t="s">
        <v>36</v>
      </c>
      <c r="L38">
        <v>67064</v>
      </c>
      <c r="M38">
        <v>9.1</v>
      </c>
      <c r="N38" t="s">
        <v>32</v>
      </c>
    </row>
    <row r="39" spans="1:30" x14ac:dyDescent="0.35">
      <c r="A39" t="s">
        <v>93</v>
      </c>
      <c r="B39" t="s">
        <v>93</v>
      </c>
      <c r="C39" t="s">
        <v>32</v>
      </c>
      <c r="D39" t="s">
        <v>33</v>
      </c>
      <c r="E39" t="s">
        <v>34</v>
      </c>
      <c r="F39" s="2">
        <v>9.1937029431895994</v>
      </c>
      <c r="G39">
        <v>10</v>
      </c>
      <c r="H39">
        <v>17</v>
      </c>
      <c r="I39">
        <v>245</v>
      </c>
      <c r="J39" t="s">
        <v>35</v>
      </c>
      <c r="K39" t="s">
        <v>36</v>
      </c>
      <c r="L39">
        <v>67064</v>
      </c>
      <c r="M39">
        <v>9.1999999999999993</v>
      </c>
      <c r="N39" t="s">
        <v>32</v>
      </c>
    </row>
    <row r="40" spans="1:30" x14ac:dyDescent="0.35">
      <c r="A40" t="s">
        <v>60</v>
      </c>
      <c r="B40" t="s">
        <v>60</v>
      </c>
      <c r="C40" t="s">
        <v>32</v>
      </c>
      <c r="D40" t="s">
        <v>33</v>
      </c>
      <c r="E40" t="s">
        <v>51</v>
      </c>
      <c r="F40" s="2">
        <v>9.7221081451060893</v>
      </c>
      <c r="G40">
        <v>20</v>
      </c>
      <c r="H40">
        <v>18</v>
      </c>
      <c r="I40">
        <v>112</v>
      </c>
      <c r="J40" t="s">
        <v>35</v>
      </c>
      <c r="K40" t="s">
        <v>36</v>
      </c>
      <c r="L40">
        <v>67064</v>
      </c>
      <c r="M40">
        <v>9.6999999999999993</v>
      </c>
      <c r="N40" t="s">
        <v>32</v>
      </c>
    </row>
    <row r="41" spans="1:30" x14ac:dyDescent="0.35">
      <c r="A41" t="s">
        <v>115</v>
      </c>
      <c r="B41" t="s">
        <v>115</v>
      </c>
      <c r="C41" t="s">
        <v>32</v>
      </c>
      <c r="D41" t="s">
        <v>33</v>
      </c>
      <c r="E41" t="s">
        <v>34</v>
      </c>
      <c r="F41" s="2">
        <v>9.9958932238192997</v>
      </c>
      <c r="G41">
        <v>20</v>
      </c>
      <c r="H41">
        <v>25</v>
      </c>
      <c r="I41">
        <v>129</v>
      </c>
      <c r="J41" t="s">
        <v>35</v>
      </c>
      <c r="K41" t="s">
        <v>36</v>
      </c>
      <c r="L41">
        <v>67064</v>
      </c>
      <c r="M41">
        <v>10</v>
      </c>
      <c r="N41" t="s">
        <v>32</v>
      </c>
    </row>
    <row r="42" spans="1:30" x14ac:dyDescent="0.35">
      <c r="A42" t="s">
        <v>47</v>
      </c>
      <c r="B42" t="s">
        <v>47</v>
      </c>
      <c r="C42" t="s">
        <v>32</v>
      </c>
      <c r="D42" t="s">
        <v>33</v>
      </c>
      <c r="E42" t="s">
        <v>34</v>
      </c>
      <c r="F42" s="2">
        <v>10.3162217659138</v>
      </c>
      <c r="G42">
        <v>0</v>
      </c>
      <c r="H42">
        <v>10</v>
      </c>
      <c r="I42">
        <v>95</v>
      </c>
      <c r="J42" t="s">
        <v>35</v>
      </c>
      <c r="K42" t="s">
        <v>36</v>
      </c>
      <c r="L42">
        <v>67064</v>
      </c>
      <c r="M42">
        <v>10.3</v>
      </c>
      <c r="N42" t="s">
        <v>37</v>
      </c>
    </row>
    <row r="43" spans="1:30" x14ac:dyDescent="0.35">
      <c r="A43" t="s">
        <v>143</v>
      </c>
      <c r="B43" t="s">
        <v>143</v>
      </c>
      <c r="C43" t="s">
        <v>32</v>
      </c>
      <c r="D43" t="s">
        <v>33</v>
      </c>
      <c r="E43" t="s">
        <v>34</v>
      </c>
      <c r="F43" s="2">
        <v>10.321697467488001</v>
      </c>
      <c r="G43">
        <v>0</v>
      </c>
      <c r="H43">
        <v>12</v>
      </c>
      <c r="I43">
        <v>112</v>
      </c>
      <c r="J43" t="s">
        <v>35</v>
      </c>
      <c r="K43" t="s">
        <v>36</v>
      </c>
      <c r="L43">
        <v>67064</v>
      </c>
      <c r="M43">
        <v>10.3</v>
      </c>
      <c r="N43" t="s">
        <v>32</v>
      </c>
    </row>
    <row r="44" spans="1:30" x14ac:dyDescent="0.35">
      <c r="A44" t="s">
        <v>71</v>
      </c>
      <c r="B44" t="s">
        <v>71</v>
      </c>
      <c r="C44" t="s">
        <v>32</v>
      </c>
      <c r="D44" t="s">
        <v>33</v>
      </c>
      <c r="E44" t="s">
        <v>34</v>
      </c>
      <c r="F44" s="2">
        <v>10.644763860369601</v>
      </c>
      <c r="G44">
        <v>20</v>
      </c>
      <c r="H44">
        <v>15</v>
      </c>
      <c r="I44">
        <v>253</v>
      </c>
      <c r="J44" t="s">
        <v>35</v>
      </c>
      <c r="K44" t="s">
        <v>36</v>
      </c>
      <c r="L44">
        <v>67064</v>
      </c>
      <c r="M44">
        <v>10.6</v>
      </c>
      <c r="N44" t="s">
        <v>32</v>
      </c>
    </row>
    <row r="45" spans="1:30" x14ac:dyDescent="0.35">
      <c r="A45" t="s">
        <v>45</v>
      </c>
      <c r="B45" t="s">
        <v>45</v>
      </c>
      <c r="C45" t="s">
        <v>32</v>
      </c>
      <c r="D45" t="s">
        <v>33</v>
      </c>
      <c r="E45" t="s">
        <v>34</v>
      </c>
      <c r="F45" s="2">
        <v>10.6502395619439</v>
      </c>
      <c r="G45">
        <v>10</v>
      </c>
      <c r="H45">
        <v>13</v>
      </c>
      <c r="I45">
        <v>107</v>
      </c>
      <c r="J45" t="s">
        <v>35</v>
      </c>
      <c r="K45" t="s">
        <v>36</v>
      </c>
      <c r="L45">
        <v>67064</v>
      </c>
      <c r="M45">
        <v>10.7</v>
      </c>
      <c r="N45" t="s">
        <v>37</v>
      </c>
    </row>
    <row r="46" spans="1:30" x14ac:dyDescent="0.35">
      <c r="A46" t="s">
        <v>104</v>
      </c>
      <c r="B46" t="s">
        <v>104</v>
      </c>
      <c r="C46" t="s">
        <v>32</v>
      </c>
      <c r="D46" t="s">
        <v>33</v>
      </c>
      <c r="E46" t="s">
        <v>34</v>
      </c>
      <c r="F46" s="2">
        <v>10.9541409993155</v>
      </c>
      <c r="G46">
        <v>10</v>
      </c>
      <c r="H46">
        <v>7</v>
      </c>
      <c r="I46">
        <v>33</v>
      </c>
      <c r="J46" t="s">
        <v>35</v>
      </c>
      <c r="K46" t="s">
        <v>36</v>
      </c>
      <c r="L46">
        <v>67064</v>
      </c>
      <c r="M46">
        <v>11</v>
      </c>
      <c r="N46" t="s">
        <v>32</v>
      </c>
    </row>
    <row r="48" spans="1:30" x14ac:dyDescent="0.35">
      <c r="A48" s="3" t="s">
        <v>154</v>
      </c>
    </row>
    <row r="49" spans="1:35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s="2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11</v>
      </c>
      <c r="M49" t="s">
        <v>12</v>
      </c>
      <c r="N49" t="s">
        <v>13</v>
      </c>
      <c r="P49" t="s">
        <v>0</v>
      </c>
      <c r="Q49" t="s">
        <v>1</v>
      </c>
      <c r="R49" t="s">
        <v>2</v>
      </c>
      <c r="S49" t="s">
        <v>3</v>
      </c>
      <c r="T49" t="s">
        <v>4</v>
      </c>
      <c r="U49" s="2" t="s">
        <v>5</v>
      </c>
      <c r="V49" t="s">
        <v>6</v>
      </c>
      <c r="W49" t="s">
        <v>7</v>
      </c>
      <c r="X49" t="s">
        <v>8</v>
      </c>
      <c r="Y49" t="s">
        <v>9</v>
      </c>
      <c r="Z49" t="s">
        <v>10</v>
      </c>
      <c r="AA49" t="s">
        <v>11</v>
      </c>
      <c r="AB49" t="s">
        <v>12</v>
      </c>
      <c r="AC49" t="s">
        <v>13</v>
      </c>
      <c r="AF49" s="3" t="s">
        <v>160</v>
      </c>
      <c r="AG49" s="3" t="s">
        <v>161</v>
      </c>
    </row>
    <row r="50" spans="1:35" x14ac:dyDescent="0.35">
      <c r="A50" t="s">
        <v>137</v>
      </c>
      <c r="B50" t="s">
        <v>137</v>
      </c>
      <c r="C50" t="s">
        <v>32</v>
      </c>
      <c r="D50" t="s">
        <v>33</v>
      </c>
      <c r="E50" t="s">
        <v>34</v>
      </c>
      <c r="F50" s="2">
        <v>5.0568104038329897</v>
      </c>
      <c r="G50">
        <v>10</v>
      </c>
      <c r="H50">
        <v>10</v>
      </c>
      <c r="I50">
        <v>167</v>
      </c>
      <c r="J50" t="s">
        <v>35</v>
      </c>
      <c r="K50" t="s">
        <v>36</v>
      </c>
      <c r="L50">
        <v>67064</v>
      </c>
      <c r="M50">
        <v>5.0999999999999996</v>
      </c>
      <c r="N50" t="s">
        <v>32</v>
      </c>
      <c r="P50" t="s">
        <v>131</v>
      </c>
      <c r="Q50" t="s">
        <v>131</v>
      </c>
      <c r="R50" t="s">
        <v>58</v>
      </c>
      <c r="S50" t="s">
        <v>33</v>
      </c>
      <c r="T50" t="s">
        <v>34</v>
      </c>
      <c r="U50" s="2">
        <v>5.14989733059548</v>
      </c>
      <c r="V50">
        <v>0</v>
      </c>
      <c r="W50">
        <v>12</v>
      </c>
      <c r="X50">
        <v>569</v>
      </c>
      <c r="Y50" t="s">
        <v>35</v>
      </c>
      <c r="Z50" t="s">
        <v>36</v>
      </c>
      <c r="AA50">
        <v>67064</v>
      </c>
      <c r="AB50">
        <v>5.0999999999999996</v>
      </c>
      <c r="AC50" t="s">
        <v>58</v>
      </c>
      <c r="AD50">
        <f>COUNTIFS(M$2:M$46,"&gt;"&amp;AB50 -1,M$2:M$46,"&lt;"&amp;AB50 +1)</f>
        <v>7</v>
      </c>
      <c r="AF50" s="2">
        <f>IF(ISBLANK(F50),"",F50-U50)</f>
        <v>-9.3086926762490307E-2</v>
      </c>
      <c r="AG50" s="2">
        <f>IF(ISBLANK(F50),"",ABS(AF50))</f>
        <v>9.3086926762490307E-2</v>
      </c>
    </row>
    <row r="51" spans="1:35" x14ac:dyDescent="0.35">
      <c r="A51" t="s">
        <v>113</v>
      </c>
      <c r="B51" t="s">
        <v>113</v>
      </c>
      <c r="C51" t="s">
        <v>32</v>
      </c>
      <c r="D51" t="s">
        <v>33</v>
      </c>
      <c r="E51" t="s">
        <v>34</v>
      </c>
      <c r="F51" s="2">
        <v>5.7768651608487298</v>
      </c>
      <c r="G51">
        <v>0</v>
      </c>
      <c r="H51">
        <v>21</v>
      </c>
      <c r="I51">
        <v>142</v>
      </c>
      <c r="J51" t="s">
        <v>35</v>
      </c>
      <c r="K51" t="s">
        <v>36</v>
      </c>
      <c r="L51">
        <v>67064</v>
      </c>
      <c r="M51">
        <v>5.8</v>
      </c>
      <c r="N51" t="s">
        <v>58</v>
      </c>
      <c r="P51" t="s">
        <v>124</v>
      </c>
      <c r="Q51" t="s">
        <v>124</v>
      </c>
      <c r="R51" t="s">
        <v>58</v>
      </c>
      <c r="S51" t="s">
        <v>33</v>
      </c>
      <c r="T51" t="s">
        <v>34</v>
      </c>
      <c r="U51" s="2">
        <v>5.7768651608487298</v>
      </c>
      <c r="V51">
        <v>10</v>
      </c>
      <c r="W51">
        <v>15</v>
      </c>
      <c r="X51">
        <v>1377</v>
      </c>
      <c r="Y51" t="s">
        <v>35</v>
      </c>
      <c r="Z51" t="s">
        <v>36</v>
      </c>
      <c r="AA51">
        <v>67064</v>
      </c>
      <c r="AB51">
        <v>5.8</v>
      </c>
      <c r="AC51" t="s">
        <v>58</v>
      </c>
      <c r="AD51">
        <f t="shared" ref="AD51:AD82" si="1">COUNTIFS(M$2:M$46,"&gt;"&amp;AB51 -1,M$2:M$46,"&lt;"&amp;AB51 +1)</f>
        <v>15</v>
      </c>
      <c r="AF51" s="2">
        <f t="shared" ref="AF51:AF82" si="2">IF(ISBLANK(F51),"",F51-U51)</f>
        <v>0</v>
      </c>
      <c r="AG51" s="2">
        <f>IF(ISBLANK(F51),"",ABS(AF51))</f>
        <v>0</v>
      </c>
    </row>
    <row r="52" spans="1:35" x14ac:dyDescent="0.35">
      <c r="A52" t="s">
        <v>132</v>
      </c>
      <c r="B52" t="s">
        <v>132</v>
      </c>
      <c r="C52" t="s">
        <v>32</v>
      </c>
      <c r="D52" t="s">
        <v>33</v>
      </c>
      <c r="E52" t="s">
        <v>34</v>
      </c>
      <c r="F52" s="2">
        <v>5.8480492813141698</v>
      </c>
      <c r="G52">
        <v>10</v>
      </c>
      <c r="H52">
        <v>16</v>
      </c>
      <c r="I52">
        <v>197</v>
      </c>
      <c r="J52" t="s">
        <v>35</v>
      </c>
      <c r="K52" t="s">
        <v>36</v>
      </c>
      <c r="L52">
        <v>67064</v>
      </c>
      <c r="M52">
        <v>5.8</v>
      </c>
      <c r="N52" t="s">
        <v>32</v>
      </c>
      <c r="P52" t="s">
        <v>123</v>
      </c>
      <c r="Q52" t="s">
        <v>123</v>
      </c>
      <c r="R52" t="s">
        <v>58</v>
      </c>
      <c r="S52" t="s">
        <v>33</v>
      </c>
      <c r="T52" t="s">
        <v>34</v>
      </c>
      <c r="U52" s="2">
        <v>5.9</v>
      </c>
      <c r="V52">
        <v>0</v>
      </c>
      <c r="W52">
        <v>22</v>
      </c>
      <c r="X52">
        <v>572</v>
      </c>
      <c r="Y52" t="s">
        <v>35</v>
      </c>
      <c r="Z52" t="s">
        <v>36</v>
      </c>
      <c r="AA52">
        <v>67064</v>
      </c>
      <c r="AB52">
        <v>5.9</v>
      </c>
      <c r="AC52" t="s">
        <v>58</v>
      </c>
      <c r="AD52">
        <f t="shared" si="1"/>
        <v>15</v>
      </c>
      <c r="AF52" s="2">
        <f t="shared" si="2"/>
        <v>-5.1950718685830566E-2</v>
      </c>
      <c r="AG52" s="2">
        <f t="shared" ref="AG52:AG82" si="3">IF(ISBLANK(F52),"",ABS(AF52))</f>
        <v>5.1950718685830566E-2</v>
      </c>
    </row>
    <row r="53" spans="1:35" x14ac:dyDescent="0.35">
      <c r="A53" t="s">
        <v>89</v>
      </c>
      <c r="B53" t="s">
        <v>89</v>
      </c>
      <c r="C53" t="s">
        <v>32</v>
      </c>
      <c r="D53" t="s">
        <v>33</v>
      </c>
      <c r="E53" t="s">
        <v>34</v>
      </c>
      <c r="F53" s="2">
        <v>6.1355236139630396</v>
      </c>
      <c r="G53">
        <v>0</v>
      </c>
      <c r="H53">
        <v>19</v>
      </c>
      <c r="I53">
        <v>157</v>
      </c>
      <c r="J53" t="s">
        <v>35</v>
      </c>
      <c r="K53" t="s">
        <v>36</v>
      </c>
      <c r="L53">
        <v>67064</v>
      </c>
      <c r="M53">
        <v>6.1</v>
      </c>
      <c r="N53" t="s">
        <v>32</v>
      </c>
      <c r="P53" t="s">
        <v>138</v>
      </c>
      <c r="Q53" t="s">
        <v>138</v>
      </c>
      <c r="R53" t="s">
        <v>58</v>
      </c>
      <c r="S53" t="s">
        <v>33</v>
      </c>
      <c r="T53" t="s">
        <v>34</v>
      </c>
      <c r="U53" s="2">
        <v>6.1108829568788501</v>
      </c>
      <c r="V53">
        <v>0</v>
      </c>
      <c r="W53">
        <v>16</v>
      </c>
      <c r="X53">
        <v>1678</v>
      </c>
      <c r="Y53" t="s">
        <v>35</v>
      </c>
      <c r="Z53" t="s">
        <v>36</v>
      </c>
      <c r="AA53">
        <v>67064</v>
      </c>
      <c r="AB53">
        <v>6.1</v>
      </c>
      <c r="AC53" t="s">
        <v>58</v>
      </c>
      <c r="AD53">
        <f t="shared" si="1"/>
        <v>14</v>
      </c>
      <c r="AF53" s="2">
        <f t="shared" si="2"/>
        <v>2.4640657084189499E-2</v>
      </c>
      <c r="AG53" s="2">
        <f t="shared" si="3"/>
        <v>2.4640657084189499E-2</v>
      </c>
    </row>
    <row r="54" spans="1:35" x14ac:dyDescent="0.35">
      <c r="A54" t="s">
        <v>94</v>
      </c>
      <c r="B54" t="s">
        <v>94</v>
      </c>
      <c r="C54" t="s">
        <v>32</v>
      </c>
      <c r="D54" t="s">
        <v>33</v>
      </c>
      <c r="E54" t="s">
        <v>34</v>
      </c>
      <c r="F54" s="2">
        <v>6.2149212867898704</v>
      </c>
      <c r="G54">
        <v>0</v>
      </c>
      <c r="H54">
        <v>9</v>
      </c>
      <c r="I54">
        <v>218</v>
      </c>
      <c r="J54" t="s">
        <v>35</v>
      </c>
      <c r="K54" t="s">
        <v>36</v>
      </c>
      <c r="L54">
        <v>67064</v>
      </c>
      <c r="M54">
        <v>6.2</v>
      </c>
      <c r="N54" t="s">
        <v>32</v>
      </c>
      <c r="P54" t="s">
        <v>70</v>
      </c>
      <c r="Q54" t="s">
        <v>70</v>
      </c>
      <c r="R54" t="s">
        <v>58</v>
      </c>
      <c r="S54" t="s">
        <v>33</v>
      </c>
      <c r="T54" t="s">
        <v>34</v>
      </c>
      <c r="U54" s="2">
        <v>6.2039698836413404</v>
      </c>
      <c r="V54">
        <v>0</v>
      </c>
      <c r="W54">
        <v>15</v>
      </c>
      <c r="X54">
        <v>1220</v>
      </c>
      <c r="Y54" t="s">
        <v>35</v>
      </c>
      <c r="Z54" t="s">
        <v>36</v>
      </c>
      <c r="AA54">
        <v>67064</v>
      </c>
      <c r="AB54">
        <v>6.2</v>
      </c>
      <c r="AC54" t="s">
        <v>58</v>
      </c>
      <c r="AD54">
        <f t="shared" si="1"/>
        <v>13</v>
      </c>
      <c r="AF54" s="2">
        <f>IF(ISBLANK(F54),"",F54-U54)</f>
        <v>1.0951403148530048E-2</v>
      </c>
      <c r="AG54" s="2">
        <f t="shared" si="3"/>
        <v>1.0951403148530048E-2</v>
      </c>
    </row>
    <row r="55" spans="1:35" x14ac:dyDescent="0.35">
      <c r="A55" t="s">
        <v>98</v>
      </c>
      <c r="B55" t="s">
        <v>98</v>
      </c>
      <c r="C55" t="s">
        <v>32</v>
      </c>
      <c r="D55" t="s">
        <v>33</v>
      </c>
      <c r="E55" t="s">
        <v>34</v>
      </c>
      <c r="F55" s="2">
        <v>6.3928815879534602</v>
      </c>
      <c r="G55">
        <v>0</v>
      </c>
      <c r="H55">
        <v>16</v>
      </c>
      <c r="I55">
        <v>33</v>
      </c>
      <c r="J55" t="s">
        <v>35</v>
      </c>
      <c r="K55" t="s">
        <v>36</v>
      </c>
      <c r="L55">
        <v>67064</v>
      </c>
      <c r="M55">
        <v>6.4</v>
      </c>
      <c r="N55" t="s">
        <v>32</v>
      </c>
      <c r="P55" t="s">
        <v>121</v>
      </c>
      <c r="Q55" t="s">
        <v>121</v>
      </c>
      <c r="R55" t="s">
        <v>58</v>
      </c>
      <c r="S55" t="s">
        <v>33</v>
      </c>
      <c r="T55" t="s">
        <v>34</v>
      </c>
      <c r="U55" s="2">
        <v>6.5270362765229297</v>
      </c>
      <c r="V55">
        <v>30</v>
      </c>
      <c r="W55">
        <v>24</v>
      </c>
      <c r="X55">
        <v>1076</v>
      </c>
      <c r="Y55" t="s">
        <v>35</v>
      </c>
      <c r="Z55" t="s">
        <v>36</v>
      </c>
      <c r="AA55">
        <v>67064</v>
      </c>
      <c r="AB55">
        <v>6.5</v>
      </c>
      <c r="AC55" t="s">
        <v>58</v>
      </c>
      <c r="AD55">
        <f t="shared" si="1"/>
        <v>15</v>
      </c>
      <c r="AF55" s="2">
        <f>IF(ISBLANK(F55),"",F55-U55)</f>
        <v>-0.13415468856946955</v>
      </c>
      <c r="AG55" s="2">
        <f t="shared" si="3"/>
        <v>0.13415468856946955</v>
      </c>
      <c r="AH55" s="2">
        <f>AVERAGE(AF55:AF57)</f>
        <v>-0.16518366415696986</v>
      </c>
      <c r="AI55" s="2">
        <f>AVERAGE(AG55:AG57)</f>
        <v>0.16518366415696986</v>
      </c>
    </row>
    <row r="56" spans="1:35" x14ac:dyDescent="0.35">
      <c r="A56" t="s">
        <v>67</v>
      </c>
      <c r="B56" t="s">
        <v>67</v>
      </c>
      <c r="C56" t="s">
        <v>32</v>
      </c>
      <c r="D56" t="s">
        <v>33</v>
      </c>
      <c r="E56" t="s">
        <v>34</v>
      </c>
      <c r="F56" s="2">
        <v>6.4147843942505096</v>
      </c>
      <c r="G56">
        <v>20</v>
      </c>
      <c r="H56">
        <v>21</v>
      </c>
      <c r="I56">
        <v>188</v>
      </c>
      <c r="J56" t="s">
        <v>35</v>
      </c>
      <c r="K56" t="s">
        <v>36</v>
      </c>
      <c r="L56">
        <v>67064</v>
      </c>
      <c r="M56">
        <v>6.4</v>
      </c>
      <c r="N56" t="s">
        <v>32</v>
      </c>
      <c r="P56" t="s">
        <v>122</v>
      </c>
      <c r="Q56" t="s">
        <v>122</v>
      </c>
      <c r="R56" t="s">
        <v>58</v>
      </c>
      <c r="S56" t="s">
        <v>33</v>
      </c>
      <c r="T56" t="s">
        <v>34</v>
      </c>
      <c r="U56" s="2">
        <v>6.5270362765229297</v>
      </c>
      <c r="V56">
        <v>40</v>
      </c>
      <c r="W56">
        <v>25</v>
      </c>
      <c r="X56">
        <v>1091</v>
      </c>
      <c r="Y56" t="s">
        <v>35</v>
      </c>
      <c r="Z56" t="s">
        <v>36</v>
      </c>
      <c r="AA56">
        <v>67064</v>
      </c>
      <c r="AB56">
        <v>6.5</v>
      </c>
      <c r="AC56" t="s">
        <v>58</v>
      </c>
      <c r="AD56">
        <f t="shared" si="1"/>
        <v>15</v>
      </c>
      <c r="AF56" s="2">
        <f t="shared" si="2"/>
        <v>-0.11225188227242011</v>
      </c>
      <c r="AG56" s="2">
        <f t="shared" si="3"/>
        <v>0.11225188227242011</v>
      </c>
    </row>
    <row r="57" spans="1:35" x14ac:dyDescent="0.35">
      <c r="A57" t="s">
        <v>31</v>
      </c>
      <c r="B57" t="s">
        <v>31</v>
      </c>
      <c r="C57" t="s">
        <v>32</v>
      </c>
      <c r="D57" t="s">
        <v>33</v>
      </c>
      <c r="E57" t="s">
        <v>34</v>
      </c>
      <c r="F57" s="2">
        <v>6.4229979466119103</v>
      </c>
      <c r="G57">
        <v>0</v>
      </c>
      <c r="H57">
        <v>14</v>
      </c>
      <c r="I57">
        <v>53</v>
      </c>
      <c r="J57" t="s">
        <v>35</v>
      </c>
      <c r="K57" t="s">
        <v>36</v>
      </c>
      <c r="L57">
        <v>67064</v>
      </c>
      <c r="M57">
        <v>6.4</v>
      </c>
      <c r="N57" t="s">
        <v>37</v>
      </c>
      <c r="P57" t="s">
        <v>100</v>
      </c>
      <c r="Q57" t="s">
        <v>100</v>
      </c>
      <c r="R57" t="s">
        <v>58</v>
      </c>
      <c r="S57" t="s">
        <v>33</v>
      </c>
      <c r="T57" t="s">
        <v>34</v>
      </c>
      <c r="U57" s="2">
        <v>6.6721423682409302</v>
      </c>
      <c r="V57">
        <v>25</v>
      </c>
      <c r="W57">
        <v>30</v>
      </c>
      <c r="X57">
        <v>1533</v>
      </c>
      <c r="Y57" t="s">
        <v>35</v>
      </c>
      <c r="Z57" t="s">
        <v>36</v>
      </c>
      <c r="AA57">
        <v>67064</v>
      </c>
      <c r="AB57">
        <v>6.7</v>
      </c>
      <c r="AC57" t="s">
        <v>58</v>
      </c>
      <c r="AD57">
        <f t="shared" si="1"/>
        <v>15</v>
      </c>
      <c r="AF57" s="2">
        <f t="shared" si="2"/>
        <v>-0.24914442162901995</v>
      </c>
      <c r="AG57" s="2">
        <f t="shared" si="3"/>
        <v>0.24914442162901995</v>
      </c>
    </row>
    <row r="58" spans="1:35" x14ac:dyDescent="0.35">
      <c r="A58" t="s">
        <v>84</v>
      </c>
      <c r="B58" t="s">
        <v>84</v>
      </c>
      <c r="C58" t="s">
        <v>32</v>
      </c>
      <c r="D58" t="s">
        <v>33</v>
      </c>
      <c r="E58" t="s">
        <v>34</v>
      </c>
      <c r="F58" s="2">
        <v>6.6447638603696104</v>
      </c>
      <c r="G58">
        <v>10</v>
      </c>
      <c r="H58">
        <v>21</v>
      </c>
      <c r="I58">
        <v>144</v>
      </c>
      <c r="J58" t="s">
        <v>35</v>
      </c>
      <c r="K58" t="s">
        <v>36</v>
      </c>
      <c r="L58">
        <v>67064</v>
      </c>
      <c r="M58">
        <v>6.6</v>
      </c>
      <c r="N58" t="s">
        <v>32</v>
      </c>
      <c r="P58" t="s">
        <v>110</v>
      </c>
      <c r="Q58" t="s">
        <v>110</v>
      </c>
      <c r="R58" t="s">
        <v>58</v>
      </c>
      <c r="S58" t="s">
        <v>33</v>
      </c>
      <c r="T58" t="s">
        <v>34</v>
      </c>
      <c r="U58" s="2">
        <v>6.8117727583846701</v>
      </c>
      <c r="V58">
        <v>30</v>
      </c>
      <c r="W58">
        <v>26</v>
      </c>
      <c r="X58">
        <v>1672</v>
      </c>
      <c r="Y58" t="s">
        <v>35</v>
      </c>
      <c r="Z58" t="s">
        <v>36</v>
      </c>
      <c r="AA58">
        <v>67064</v>
      </c>
      <c r="AB58">
        <v>6.8</v>
      </c>
      <c r="AC58" t="s">
        <v>58</v>
      </c>
      <c r="AD58">
        <f t="shared" si="1"/>
        <v>14</v>
      </c>
      <c r="AF58" s="2">
        <f t="shared" si="2"/>
        <v>-0.16700889801505969</v>
      </c>
      <c r="AG58" s="2">
        <f t="shared" si="3"/>
        <v>0.16700889801505969</v>
      </c>
    </row>
    <row r="59" spans="1:35" x14ac:dyDescent="0.35">
      <c r="A59" t="s">
        <v>103</v>
      </c>
      <c r="B59" t="s">
        <v>103</v>
      </c>
      <c r="C59" t="s">
        <v>32</v>
      </c>
      <c r="D59" t="s">
        <v>33</v>
      </c>
      <c r="E59" t="s">
        <v>34</v>
      </c>
      <c r="F59" s="2">
        <v>6.8583162217659099</v>
      </c>
      <c r="G59">
        <v>0</v>
      </c>
      <c r="H59">
        <v>12</v>
      </c>
      <c r="I59">
        <v>360</v>
      </c>
      <c r="J59" t="s">
        <v>35</v>
      </c>
      <c r="K59" t="s">
        <v>36</v>
      </c>
      <c r="L59">
        <v>67064</v>
      </c>
      <c r="M59">
        <v>6.9</v>
      </c>
      <c r="N59" t="s">
        <v>32</v>
      </c>
      <c r="P59" t="s">
        <v>75</v>
      </c>
      <c r="Q59" t="s">
        <v>75</v>
      </c>
      <c r="R59" t="s">
        <v>58</v>
      </c>
      <c r="S59" t="s">
        <v>33</v>
      </c>
      <c r="T59" t="s">
        <v>34</v>
      </c>
      <c r="U59" s="2">
        <v>6.9</v>
      </c>
      <c r="V59">
        <v>15</v>
      </c>
      <c r="W59">
        <v>14</v>
      </c>
      <c r="X59">
        <v>372</v>
      </c>
      <c r="Y59" t="s">
        <v>76</v>
      </c>
      <c r="Z59" t="s">
        <v>36</v>
      </c>
      <c r="AA59">
        <v>67064</v>
      </c>
      <c r="AB59">
        <v>6.9</v>
      </c>
      <c r="AC59" t="s">
        <v>77</v>
      </c>
      <c r="AD59">
        <f t="shared" si="1"/>
        <v>16</v>
      </c>
      <c r="AF59" s="2">
        <f t="shared" si="2"/>
        <v>-4.1683778234090418E-2</v>
      </c>
      <c r="AG59" s="2">
        <f t="shared" si="3"/>
        <v>4.1683778234090418E-2</v>
      </c>
    </row>
    <row r="60" spans="1:35" x14ac:dyDescent="0.35">
      <c r="A60" t="s">
        <v>112</v>
      </c>
      <c r="B60" t="s">
        <v>112</v>
      </c>
      <c r="C60" t="s">
        <v>32</v>
      </c>
      <c r="D60" t="s">
        <v>33</v>
      </c>
      <c r="E60" t="s">
        <v>34</v>
      </c>
      <c r="F60" s="2">
        <v>7.6057494866529796</v>
      </c>
      <c r="G60">
        <v>0</v>
      </c>
      <c r="H60">
        <v>12</v>
      </c>
      <c r="I60">
        <v>107</v>
      </c>
      <c r="J60" t="s">
        <v>35</v>
      </c>
      <c r="K60" t="s">
        <v>36</v>
      </c>
      <c r="L60">
        <v>67064</v>
      </c>
      <c r="M60">
        <v>7.6</v>
      </c>
      <c r="N60" t="s">
        <v>32</v>
      </c>
      <c r="P60" t="s">
        <v>66</v>
      </c>
      <c r="Q60" t="s">
        <v>66</v>
      </c>
      <c r="R60" t="s">
        <v>58</v>
      </c>
      <c r="S60" t="s">
        <v>33</v>
      </c>
      <c r="T60" t="s">
        <v>34</v>
      </c>
      <c r="U60" s="2">
        <v>7.1786447638603699</v>
      </c>
      <c r="V60">
        <v>25</v>
      </c>
      <c r="W60">
        <v>30</v>
      </c>
      <c r="X60">
        <v>1497</v>
      </c>
      <c r="Y60" t="s">
        <v>35</v>
      </c>
      <c r="Z60" t="s">
        <v>36</v>
      </c>
      <c r="AA60">
        <v>67064</v>
      </c>
      <c r="AB60">
        <v>7.2</v>
      </c>
      <c r="AC60" t="s">
        <v>58</v>
      </c>
      <c r="AD60">
        <f t="shared" si="1"/>
        <v>17</v>
      </c>
      <c r="AF60" s="2">
        <f t="shared" si="2"/>
        <v>0.42710472279260969</v>
      </c>
      <c r="AG60" s="2">
        <f t="shared" si="3"/>
        <v>0.42710472279260969</v>
      </c>
    </row>
    <row r="61" spans="1:35" x14ac:dyDescent="0.35">
      <c r="A61" t="s">
        <v>129</v>
      </c>
      <c r="B61" t="s">
        <v>129</v>
      </c>
      <c r="C61" t="s">
        <v>32</v>
      </c>
      <c r="D61" t="s">
        <v>33</v>
      </c>
      <c r="E61" t="s">
        <v>51</v>
      </c>
      <c r="F61" s="2">
        <v>7.7837097878165604</v>
      </c>
      <c r="G61">
        <v>0</v>
      </c>
      <c r="H61">
        <v>19</v>
      </c>
      <c r="I61">
        <v>42</v>
      </c>
      <c r="J61" t="s">
        <v>35</v>
      </c>
      <c r="K61" t="s">
        <v>36</v>
      </c>
      <c r="L61">
        <v>67064</v>
      </c>
      <c r="M61">
        <v>7.8</v>
      </c>
      <c r="N61" t="s">
        <v>32</v>
      </c>
      <c r="P61" t="s">
        <v>87</v>
      </c>
      <c r="Q61" t="s">
        <v>87</v>
      </c>
      <c r="R61" t="s">
        <v>58</v>
      </c>
      <c r="S61" t="s">
        <v>33</v>
      </c>
      <c r="T61" t="s">
        <v>51</v>
      </c>
      <c r="U61" s="2">
        <v>7.4414784394250502</v>
      </c>
      <c r="V61">
        <v>0</v>
      </c>
      <c r="W61">
        <v>19</v>
      </c>
      <c r="X61">
        <v>899</v>
      </c>
      <c r="Y61" t="s">
        <v>35</v>
      </c>
      <c r="Z61" t="s">
        <v>36</v>
      </c>
      <c r="AA61">
        <v>67064</v>
      </c>
      <c r="AB61">
        <v>7.4</v>
      </c>
      <c r="AC61" t="s">
        <v>58</v>
      </c>
      <c r="AD61">
        <f t="shared" si="1"/>
        <v>14</v>
      </c>
      <c r="AF61" s="2">
        <f t="shared" si="2"/>
        <v>0.34223134839151026</v>
      </c>
      <c r="AG61" s="2">
        <f t="shared" si="3"/>
        <v>0.34223134839151026</v>
      </c>
    </row>
    <row r="62" spans="1:35" x14ac:dyDescent="0.35">
      <c r="A62" t="s">
        <v>136</v>
      </c>
      <c r="B62" t="s">
        <v>136</v>
      </c>
      <c r="C62" t="s">
        <v>32</v>
      </c>
      <c r="D62" t="s">
        <v>33</v>
      </c>
      <c r="E62" t="s">
        <v>34</v>
      </c>
      <c r="F62" s="2">
        <v>7.7481177275838498</v>
      </c>
      <c r="G62">
        <v>0</v>
      </c>
      <c r="H62">
        <v>14</v>
      </c>
      <c r="I62">
        <v>224</v>
      </c>
      <c r="J62" t="s">
        <v>35</v>
      </c>
      <c r="K62" t="s">
        <v>36</v>
      </c>
      <c r="L62">
        <v>67064</v>
      </c>
      <c r="M62">
        <v>7.7</v>
      </c>
      <c r="N62" t="s">
        <v>32</v>
      </c>
      <c r="P62" t="s">
        <v>107</v>
      </c>
      <c r="Q62" t="s">
        <v>107</v>
      </c>
      <c r="R62" t="s">
        <v>58</v>
      </c>
      <c r="S62" t="s">
        <v>33</v>
      </c>
      <c r="T62" t="s">
        <v>34</v>
      </c>
      <c r="U62" s="2">
        <v>7.7097878165639999</v>
      </c>
      <c r="V62">
        <v>30</v>
      </c>
      <c r="W62">
        <v>22</v>
      </c>
      <c r="X62">
        <v>1060</v>
      </c>
      <c r="Y62" t="s">
        <v>35</v>
      </c>
      <c r="Z62" t="s">
        <v>36</v>
      </c>
      <c r="AA62">
        <v>67064</v>
      </c>
      <c r="AB62">
        <v>7.7</v>
      </c>
      <c r="AC62" t="s">
        <v>58</v>
      </c>
      <c r="AD62">
        <f t="shared" si="1"/>
        <v>18</v>
      </c>
      <c r="AF62" s="2">
        <f t="shared" si="2"/>
        <v>3.8329911019849838E-2</v>
      </c>
      <c r="AG62" s="2">
        <f t="shared" si="3"/>
        <v>3.8329911019849838E-2</v>
      </c>
    </row>
    <row r="63" spans="1:35" x14ac:dyDescent="0.35">
      <c r="A63" t="s">
        <v>99</v>
      </c>
      <c r="B63" t="s">
        <v>99</v>
      </c>
      <c r="C63" t="s">
        <v>32</v>
      </c>
      <c r="D63" t="s">
        <v>33</v>
      </c>
      <c r="E63" t="s">
        <v>51</v>
      </c>
      <c r="F63" s="2">
        <v>8.2080766598220407</v>
      </c>
      <c r="G63">
        <v>10</v>
      </c>
      <c r="H63">
        <v>17</v>
      </c>
      <c r="I63">
        <v>309</v>
      </c>
      <c r="J63" t="s">
        <v>35</v>
      </c>
      <c r="K63" t="s">
        <v>36</v>
      </c>
      <c r="L63">
        <v>67064</v>
      </c>
      <c r="M63">
        <v>8.1999999999999993</v>
      </c>
      <c r="N63" t="s">
        <v>32</v>
      </c>
      <c r="P63" t="s">
        <v>73</v>
      </c>
      <c r="Q63" t="s">
        <v>73</v>
      </c>
      <c r="R63" t="s">
        <v>58</v>
      </c>
      <c r="S63" t="s">
        <v>33</v>
      </c>
      <c r="T63" t="s">
        <v>51</v>
      </c>
      <c r="U63" s="2">
        <v>7.7426420260095803</v>
      </c>
      <c r="V63">
        <v>35</v>
      </c>
      <c r="W63">
        <v>34</v>
      </c>
      <c r="X63">
        <v>399</v>
      </c>
      <c r="Y63" t="s">
        <v>35</v>
      </c>
      <c r="Z63" t="s">
        <v>36</v>
      </c>
      <c r="AA63">
        <v>67064</v>
      </c>
      <c r="AB63">
        <v>7.7</v>
      </c>
      <c r="AC63" t="s">
        <v>58</v>
      </c>
      <c r="AD63">
        <f t="shared" si="1"/>
        <v>18</v>
      </c>
      <c r="AF63" s="2">
        <f t="shared" si="2"/>
        <v>0.46543463381246042</v>
      </c>
      <c r="AG63" s="2">
        <f t="shared" si="3"/>
        <v>0.46543463381246042</v>
      </c>
    </row>
    <row r="64" spans="1:35" x14ac:dyDescent="0.35">
      <c r="A64" t="s">
        <v>88</v>
      </c>
      <c r="B64" t="s">
        <v>88</v>
      </c>
      <c r="C64" t="s">
        <v>32</v>
      </c>
      <c r="D64" t="s">
        <v>33</v>
      </c>
      <c r="E64" t="s">
        <v>34</v>
      </c>
      <c r="F64" s="2">
        <v>8.0821355236139603</v>
      </c>
      <c r="G64">
        <v>0</v>
      </c>
      <c r="H64">
        <v>10</v>
      </c>
      <c r="I64">
        <v>76</v>
      </c>
      <c r="J64" t="s">
        <v>35</v>
      </c>
      <c r="K64" t="s">
        <v>36</v>
      </c>
      <c r="L64">
        <v>67064</v>
      </c>
      <c r="M64">
        <v>8.1</v>
      </c>
      <c r="N64" t="s">
        <v>32</v>
      </c>
      <c r="P64" t="s">
        <v>153</v>
      </c>
      <c r="Q64" t="s">
        <v>153</v>
      </c>
      <c r="R64" t="s">
        <v>58</v>
      </c>
      <c r="S64" t="s">
        <v>33</v>
      </c>
      <c r="T64" t="s">
        <v>34</v>
      </c>
      <c r="U64" s="2">
        <v>8.1642710472279294</v>
      </c>
      <c r="V64">
        <v>0</v>
      </c>
      <c r="W64">
        <v>24</v>
      </c>
      <c r="X64">
        <v>2286</v>
      </c>
      <c r="Y64" t="s">
        <v>35</v>
      </c>
      <c r="Z64" t="s">
        <v>36</v>
      </c>
      <c r="AA64">
        <v>67064</v>
      </c>
      <c r="AB64">
        <v>8.1999999999999993</v>
      </c>
      <c r="AC64" t="s">
        <v>58</v>
      </c>
      <c r="AD64">
        <f t="shared" si="1"/>
        <v>21</v>
      </c>
      <c r="AF64" s="2">
        <f t="shared" si="2"/>
        <v>-8.2135523613969141E-2</v>
      </c>
      <c r="AG64" s="2">
        <f t="shared" si="3"/>
        <v>8.2135523613969141E-2</v>
      </c>
      <c r="AH64" s="2">
        <f>AVERAGE(AF64:AF66)</f>
        <v>-6.0104232945962606E-3</v>
      </c>
      <c r="AI64" s="2">
        <f>AVERAGE(AG64:AG66)</f>
        <v>6.8068374469589799E-2</v>
      </c>
    </row>
    <row r="65" spans="1:35" x14ac:dyDescent="0.35">
      <c r="A65" t="s">
        <v>144</v>
      </c>
      <c r="B65" t="s">
        <v>144</v>
      </c>
      <c r="C65" t="s">
        <v>32</v>
      </c>
      <c r="D65" t="s">
        <v>33</v>
      </c>
      <c r="E65" t="s">
        <v>34</v>
      </c>
      <c r="F65" s="2">
        <v>8.1380262249827506</v>
      </c>
      <c r="G65">
        <v>10</v>
      </c>
      <c r="H65">
        <v>21</v>
      </c>
      <c r="I65">
        <v>179</v>
      </c>
      <c r="J65" t="s">
        <v>35</v>
      </c>
      <c r="K65" t="s">
        <v>36</v>
      </c>
      <c r="L65">
        <v>67064</v>
      </c>
      <c r="M65">
        <v>8.1</v>
      </c>
      <c r="N65" t="s">
        <v>32</v>
      </c>
      <c r="P65" t="s">
        <v>148</v>
      </c>
      <c r="Q65" t="s">
        <v>148</v>
      </c>
      <c r="R65" t="s">
        <v>58</v>
      </c>
      <c r="S65" t="s">
        <v>33</v>
      </c>
      <c r="T65" t="s">
        <v>34</v>
      </c>
      <c r="U65" s="2">
        <v>8.1670088980150606</v>
      </c>
      <c r="V65">
        <v>25</v>
      </c>
      <c r="W65">
        <v>25</v>
      </c>
      <c r="X65">
        <v>2983</v>
      </c>
      <c r="Y65" t="s">
        <v>35</v>
      </c>
      <c r="Z65" t="s">
        <v>36</v>
      </c>
      <c r="AA65">
        <v>67064</v>
      </c>
      <c r="AB65">
        <v>8.1999999999999993</v>
      </c>
      <c r="AC65" t="s">
        <v>58</v>
      </c>
      <c r="AD65">
        <f t="shared" si="1"/>
        <v>21</v>
      </c>
      <c r="AF65" s="2">
        <f t="shared" si="2"/>
        <v>-2.8982673032309947E-2</v>
      </c>
      <c r="AG65" s="2">
        <f t="shared" si="3"/>
        <v>2.8982673032309947E-2</v>
      </c>
    </row>
    <row r="66" spans="1:35" x14ac:dyDescent="0.35">
      <c r="A66" t="s">
        <v>119</v>
      </c>
      <c r="B66" t="s">
        <v>119</v>
      </c>
      <c r="C66" t="s">
        <v>32</v>
      </c>
      <c r="D66" t="s">
        <v>33</v>
      </c>
      <c r="E66" t="s">
        <v>34</v>
      </c>
      <c r="F66" s="2">
        <v>8.2655715263518097</v>
      </c>
      <c r="G66">
        <v>10</v>
      </c>
      <c r="H66">
        <v>17</v>
      </c>
      <c r="I66">
        <v>121</v>
      </c>
      <c r="J66" t="s">
        <v>35</v>
      </c>
      <c r="K66" t="s">
        <v>36</v>
      </c>
      <c r="L66">
        <v>67064</v>
      </c>
      <c r="M66">
        <v>8.3000000000000007</v>
      </c>
      <c r="N66" t="s">
        <v>32</v>
      </c>
      <c r="P66" t="s">
        <v>95</v>
      </c>
      <c r="Q66" t="s">
        <v>96</v>
      </c>
      <c r="R66" t="s">
        <v>58</v>
      </c>
      <c r="S66" t="s">
        <v>33</v>
      </c>
      <c r="T66" t="s">
        <v>34</v>
      </c>
      <c r="U66" s="2">
        <v>8.1724845995893194</v>
      </c>
      <c r="V66">
        <v>0</v>
      </c>
      <c r="W66">
        <v>14</v>
      </c>
      <c r="X66">
        <v>1546</v>
      </c>
      <c r="Y66" t="s">
        <v>35</v>
      </c>
      <c r="Z66" t="s">
        <v>36</v>
      </c>
      <c r="AA66">
        <v>67064</v>
      </c>
      <c r="AB66">
        <v>8.1999999999999993</v>
      </c>
      <c r="AC66" t="s">
        <v>58</v>
      </c>
      <c r="AD66">
        <f t="shared" si="1"/>
        <v>21</v>
      </c>
      <c r="AF66" s="2">
        <f t="shared" si="2"/>
        <v>9.3086926762490307E-2</v>
      </c>
      <c r="AG66" s="2">
        <f t="shared" si="3"/>
        <v>9.3086926762490307E-2</v>
      </c>
    </row>
    <row r="67" spans="1:35" x14ac:dyDescent="0.35">
      <c r="A67" t="s">
        <v>46</v>
      </c>
      <c r="B67" t="s">
        <v>46</v>
      </c>
      <c r="C67" t="s">
        <v>32</v>
      </c>
      <c r="D67" t="s">
        <v>33</v>
      </c>
      <c r="E67" t="s">
        <v>34</v>
      </c>
      <c r="F67" s="2">
        <v>8.3887748117727607</v>
      </c>
      <c r="G67">
        <v>10</v>
      </c>
      <c r="H67">
        <v>19</v>
      </c>
      <c r="I67">
        <v>112</v>
      </c>
      <c r="J67" t="s">
        <v>35</v>
      </c>
      <c r="K67" t="s">
        <v>36</v>
      </c>
      <c r="L67">
        <v>67064</v>
      </c>
      <c r="M67">
        <v>8.4</v>
      </c>
      <c r="N67" t="s">
        <v>37</v>
      </c>
      <c r="P67" t="s">
        <v>152</v>
      </c>
      <c r="Q67" t="s">
        <v>152</v>
      </c>
      <c r="R67" t="s">
        <v>58</v>
      </c>
      <c r="S67" t="s">
        <v>33</v>
      </c>
      <c r="T67" t="s">
        <v>34</v>
      </c>
      <c r="U67" s="2">
        <v>8.3449691991786406</v>
      </c>
      <c r="V67">
        <v>20</v>
      </c>
      <c r="W67">
        <v>30</v>
      </c>
      <c r="X67">
        <v>940</v>
      </c>
      <c r="Y67" t="s">
        <v>35</v>
      </c>
      <c r="Z67" t="s">
        <v>36</v>
      </c>
      <c r="AA67">
        <v>67064</v>
      </c>
      <c r="AB67">
        <v>8.3000000000000007</v>
      </c>
      <c r="AC67" t="s">
        <v>58</v>
      </c>
      <c r="AD67">
        <f t="shared" si="1"/>
        <v>20</v>
      </c>
      <c r="AF67" s="2">
        <f t="shared" si="2"/>
        <v>4.3805612594120191E-2</v>
      </c>
      <c r="AG67" s="2">
        <f t="shared" si="3"/>
        <v>4.3805612594120191E-2</v>
      </c>
    </row>
    <row r="68" spans="1:35" x14ac:dyDescent="0.35">
      <c r="A68" t="s">
        <v>65</v>
      </c>
      <c r="B68" t="s">
        <v>65</v>
      </c>
      <c r="C68" t="s">
        <v>32</v>
      </c>
      <c r="D68" t="s">
        <v>33</v>
      </c>
      <c r="E68" t="s">
        <v>34</v>
      </c>
      <c r="F68" s="2">
        <v>8.3915126625598901</v>
      </c>
      <c r="G68">
        <v>20</v>
      </c>
      <c r="H68">
        <v>22</v>
      </c>
      <c r="I68">
        <v>131</v>
      </c>
      <c r="J68" t="s">
        <v>35</v>
      </c>
      <c r="K68" t="s">
        <v>36</v>
      </c>
      <c r="L68">
        <v>67064</v>
      </c>
      <c r="M68">
        <v>8.4</v>
      </c>
      <c r="N68" t="s">
        <v>32</v>
      </c>
      <c r="P68" t="s">
        <v>127</v>
      </c>
      <c r="Q68" t="s">
        <v>127</v>
      </c>
      <c r="R68" t="s">
        <v>58</v>
      </c>
      <c r="S68" t="s">
        <v>33</v>
      </c>
      <c r="T68" t="s">
        <v>34</v>
      </c>
      <c r="U68" s="2">
        <v>8.5174537987679706</v>
      </c>
      <c r="V68">
        <v>5</v>
      </c>
      <c r="W68">
        <v>18</v>
      </c>
      <c r="X68">
        <v>2064</v>
      </c>
      <c r="Y68" t="s">
        <v>35</v>
      </c>
      <c r="Z68" t="s">
        <v>36</v>
      </c>
      <c r="AA68">
        <v>67064</v>
      </c>
      <c r="AB68">
        <v>8.5</v>
      </c>
      <c r="AC68" t="s">
        <v>58</v>
      </c>
      <c r="AD68">
        <f t="shared" si="1"/>
        <v>20</v>
      </c>
      <c r="AF68" s="2">
        <f t="shared" si="2"/>
        <v>-0.12594113620808045</v>
      </c>
      <c r="AG68" s="2">
        <f t="shared" si="3"/>
        <v>0.12594113620808045</v>
      </c>
    </row>
    <row r="69" spans="1:35" x14ac:dyDescent="0.35">
      <c r="A69" t="s">
        <v>128</v>
      </c>
      <c r="B69" t="s">
        <v>128</v>
      </c>
      <c r="C69" t="s">
        <v>32</v>
      </c>
      <c r="D69" t="s">
        <v>33</v>
      </c>
      <c r="E69" t="s">
        <v>34</v>
      </c>
      <c r="F69" s="2">
        <v>8.3997262149212908</v>
      </c>
      <c r="G69">
        <v>10</v>
      </c>
      <c r="H69">
        <v>12</v>
      </c>
      <c r="I69">
        <v>115</v>
      </c>
      <c r="J69" t="s">
        <v>35</v>
      </c>
      <c r="K69" t="s">
        <v>36</v>
      </c>
      <c r="L69">
        <v>67064</v>
      </c>
      <c r="M69">
        <v>8.4</v>
      </c>
      <c r="N69" t="s">
        <v>32</v>
      </c>
      <c r="P69" t="s">
        <v>102</v>
      </c>
      <c r="Q69" t="s">
        <v>102</v>
      </c>
      <c r="R69" t="s">
        <v>58</v>
      </c>
      <c r="S69" t="s">
        <v>33</v>
      </c>
      <c r="T69" t="s">
        <v>34</v>
      </c>
      <c r="U69" s="2">
        <v>8.5475701574264207</v>
      </c>
      <c r="V69">
        <v>30</v>
      </c>
      <c r="W69">
        <v>24</v>
      </c>
      <c r="X69">
        <v>1656</v>
      </c>
      <c r="Y69" t="s">
        <v>35</v>
      </c>
      <c r="Z69" t="s">
        <v>36</v>
      </c>
      <c r="AA69">
        <v>67064</v>
      </c>
      <c r="AB69">
        <v>8.5</v>
      </c>
      <c r="AC69" t="s">
        <v>58</v>
      </c>
      <c r="AD69">
        <f t="shared" si="1"/>
        <v>20</v>
      </c>
      <c r="AF69" s="2">
        <f t="shared" si="2"/>
        <v>-0.14784394250512989</v>
      </c>
      <c r="AG69" s="2">
        <f t="shared" si="3"/>
        <v>0.14784394250512989</v>
      </c>
    </row>
    <row r="70" spans="1:35" x14ac:dyDescent="0.35">
      <c r="A70" t="s">
        <v>56</v>
      </c>
      <c r="B70" t="s">
        <v>56</v>
      </c>
      <c r="C70" t="s">
        <v>32</v>
      </c>
      <c r="D70" t="s">
        <v>33</v>
      </c>
      <c r="E70" t="s">
        <v>34</v>
      </c>
      <c r="F70" s="2">
        <v>8.6406570841889092</v>
      </c>
      <c r="G70">
        <v>5</v>
      </c>
      <c r="H70">
        <v>24</v>
      </c>
      <c r="I70">
        <v>95</v>
      </c>
      <c r="J70" t="s">
        <v>35</v>
      </c>
      <c r="K70" t="s">
        <v>36</v>
      </c>
      <c r="L70">
        <v>67064</v>
      </c>
      <c r="M70">
        <v>8.6</v>
      </c>
      <c r="N70" t="s">
        <v>32</v>
      </c>
      <c r="P70" t="s">
        <v>64</v>
      </c>
      <c r="Q70" t="s">
        <v>64</v>
      </c>
      <c r="R70" t="s">
        <v>58</v>
      </c>
      <c r="S70" t="s">
        <v>33</v>
      </c>
      <c r="T70" t="s">
        <v>34</v>
      </c>
      <c r="U70" s="2">
        <v>8.6598220396988399</v>
      </c>
      <c r="V70">
        <v>20</v>
      </c>
      <c r="W70">
        <v>19</v>
      </c>
      <c r="X70">
        <v>401</v>
      </c>
      <c r="Y70" t="s">
        <v>35</v>
      </c>
      <c r="Z70" t="s">
        <v>36</v>
      </c>
      <c r="AA70">
        <v>67064</v>
      </c>
      <c r="AB70">
        <v>8.6999999999999993</v>
      </c>
      <c r="AC70" t="s">
        <v>58</v>
      </c>
      <c r="AD70">
        <f t="shared" si="1"/>
        <v>18</v>
      </c>
      <c r="AF70" s="2">
        <f t="shared" si="2"/>
        <v>-1.9164955509930692E-2</v>
      </c>
      <c r="AG70" s="2">
        <f t="shared" si="3"/>
        <v>1.9164955509930692E-2</v>
      </c>
    </row>
    <row r="71" spans="1:35" x14ac:dyDescent="0.35">
      <c r="A71" t="s">
        <v>86</v>
      </c>
      <c r="B71" t="s">
        <v>86</v>
      </c>
      <c r="C71" t="s">
        <v>32</v>
      </c>
      <c r="D71" t="s">
        <v>33</v>
      </c>
      <c r="E71" t="s">
        <v>34</v>
      </c>
      <c r="F71" s="2">
        <v>8.7556468172484596</v>
      </c>
      <c r="G71">
        <v>0</v>
      </c>
      <c r="H71">
        <v>13</v>
      </c>
      <c r="I71">
        <v>82</v>
      </c>
      <c r="J71" t="s">
        <v>35</v>
      </c>
      <c r="K71" t="s">
        <v>36</v>
      </c>
      <c r="L71">
        <v>67064</v>
      </c>
      <c r="M71">
        <v>8.8000000000000007</v>
      </c>
      <c r="N71" t="s">
        <v>32</v>
      </c>
      <c r="P71" t="s">
        <v>142</v>
      </c>
      <c r="Q71" t="s">
        <v>142</v>
      </c>
      <c r="R71" t="s">
        <v>58</v>
      </c>
      <c r="S71" t="s">
        <v>33</v>
      </c>
      <c r="T71" t="s">
        <v>34</v>
      </c>
      <c r="U71" s="2">
        <v>8.8815879534565401</v>
      </c>
      <c r="V71">
        <v>10</v>
      </c>
      <c r="W71">
        <v>22</v>
      </c>
      <c r="X71">
        <v>971</v>
      </c>
      <c r="Y71" t="s">
        <v>35</v>
      </c>
      <c r="Z71" t="s">
        <v>36</v>
      </c>
      <c r="AA71">
        <v>67064</v>
      </c>
      <c r="AB71">
        <v>8.9</v>
      </c>
      <c r="AC71" t="s">
        <v>58</v>
      </c>
      <c r="AD71">
        <f t="shared" si="1"/>
        <v>16</v>
      </c>
      <c r="AF71" s="2">
        <f t="shared" si="2"/>
        <v>-0.12594113620808045</v>
      </c>
      <c r="AG71" s="2">
        <f t="shared" si="3"/>
        <v>0.12594113620808045</v>
      </c>
    </row>
    <row r="72" spans="1:35" x14ac:dyDescent="0.35">
      <c r="A72" t="s">
        <v>130</v>
      </c>
      <c r="B72" t="s">
        <v>130</v>
      </c>
      <c r="C72" t="s">
        <v>32</v>
      </c>
      <c r="D72" t="s">
        <v>33</v>
      </c>
      <c r="E72" t="s">
        <v>34</v>
      </c>
      <c r="F72" s="2">
        <v>8.9363449691991796</v>
      </c>
      <c r="G72">
        <v>0</v>
      </c>
      <c r="H72">
        <v>23</v>
      </c>
      <c r="I72">
        <v>297</v>
      </c>
      <c r="J72" t="s">
        <v>35</v>
      </c>
      <c r="K72" t="s">
        <v>36</v>
      </c>
      <c r="L72">
        <v>67064</v>
      </c>
      <c r="M72">
        <v>8.9</v>
      </c>
      <c r="N72" t="s">
        <v>32</v>
      </c>
      <c r="P72" t="s">
        <v>149</v>
      </c>
      <c r="Q72" t="s">
        <v>149</v>
      </c>
      <c r="R72" t="s">
        <v>58</v>
      </c>
      <c r="S72" t="s">
        <v>33</v>
      </c>
      <c r="T72" t="s">
        <v>34</v>
      </c>
      <c r="U72" s="2">
        <v>9.0239561943874094</v>
      </c>
      <c r="V72">
        <v>30</v>
      </c>
      <c r="W72">
        <v>30</v>
      </c>
      <c r="X72">
        <v>2019</v>
      </c>
      <c r="Y72" t="s">
        <v>35</v>
      </c>
      <c r="Z72" t="s">
        <v>36</v>
      </c>
      <c r="AA72">
        <v>67064</v>
      </c>
      <c r="AB72">
        <v>9</v>
      </c>
      <c r="AC72" t="s">
        <v>58</v>
      </c>
      <c r="AD72">
        <f t="shared" si="1"/>
        <v>16</v>
      </c>
      <c r="AF72" s="2">
        <f>IF(ISBLANK(F72),"",F72-U72)</f>
        <v>-8.7611225188229724E-2</v>
      </c>
      <c r="AG72" s="2">
        <f t="shared" si="3"/>
        <v>8.7611225188229724E-2</v>
      </c>
    </row>
    <row r="73" spans="1:35" x14ac:dyDescent="0.35">
      <c r="A73" t="s">
        <v>118</v>
      </c>
      <c r="B73" t="s">
        <v>118</v>
      </c>
      <c r="C73" t="s">
        <v>32</v>
      </c>
      <c r="D73" t="s">
        <v>33</v>
      </c>
      <c r="E73" t="s">
        <v>34</v>
      </c>
      <c r="F73" s="2">
        <v>9.1060917180013696</v>
      </c>
      <c r="G73">
        <v>0</v>
      </c>
      <c r="H73">
        <v>14</v>
      </c>
      <c r="I73">
        <v>271</v>
      </c>
      <c r="J73" t="s">
        <v>35</v>
      </c>
      <c r="K73" t="s">
        <v>36</v>
      </c>
      <c r="L73">
        <v>67064</v>
      </c>
      <c r="M73">
        <v>9.1</v>
      </c>
      <c r="N73" t="s">
        <v>32</v>
      </c>
      <c r="P73" t="s">
        <v>74</v>
      </c>
      <c r="Q73" t="s">
        <v>74</v>
      </c>
      <c r="R73" t="s">
        <v>58</v>
      </c>
      <c r="S73" t="s">
        <v>33</v>
      </c>
      <c r="T73" t="s">
        <v>34</v>
      </c>
      <c r="U73" s="2">
        <v>9.0732375085557795</v>
      </c>
      <c r="V73">
        <v>0</v>
      </c>
      <c r="W73">
        <v>19</v>
      </c>
      <c r="X73">
        <v>1507</v>
      </c>
      <c r="Y73" t="s">
        <v>35</v>
      </c>
      <c r="Z73" t="s">
        <v>36</v>
      </c>
      <c r="AA73">
        <v>67064</v>
      </c>
      <c r="AB73">
        <v>9.1</v>
      </c>
      <c r="AC73" t="s">
        <v>58</v>
      </c>
      <c r="AD73">
        <f t="shared" si="1"/>
        <v>14</v>
      </c>
      <c r="AF73" s="2">
        <f>IF(ISBLANK(F73),"",F73-U73)</f>
        <v>3.2854209445590143E-2</v>
      </c>
      <c r="AG73" s="2">
        <f t="shared" si="3"/>
        <v>3.2854209445590143E-2</v>
      </c>
    </row>
    <row r="74" spans="1:35" x14ac:dyDescent="0.35">
      <c r="A74" t="s">
        <v>93</v>
      </c>
      <c r="B74" t="s">
        <v>93</v>
      </c>
      <c r="C74" t="s">
        <v>32</v>
      </c>
      <c r="D74" t="s">
        <v>33</v>
      </c>
      <c r="E74" t="s">
        <v>34</v>
      </c>
      <c r="F74" s="2">
        <v>9.1937029431895994</v>
      </c>
      <c r="G74">
        <v>10</v>
      </c>
      <c r="H74">
        <v>17</v>
      </c>
      <c r="I74">
        <v>245</v>
      </c>
      <c r="J74" t="s">
        <v>35</v>
      </c>
      <c r="K74" t="s">
        <v>36</v>
      </c>
      <c r="L74">
        <v>67064</v>
      </c>
      <c r="M74">
        <v>9.1999999999999993</v>
      </c>
      <c r="N74" t="s">
        <v>32</v>
      </c>
      <c r="P74" t="s">
        <v>135</v>
      </c>
      <c r="Q74" t="s">
        <v>135</v>
      </c>
      <c r="R74" t="s">
        <v>58</v>
      </c>
      <c r="S74" t="s">
        <v>33</v>
      </c>
      <c r="T74" t="s">
        <v>34</v>
      </c>
      <c r="U74" s="2">
        <v>9.3141683778234103</v>
      </c>
      <c r="V74">
        <v>10</v>
      </c>
      <c r="W74">
        <v>23</v>
      </c>
      <c r="X74">
        <v>1973</v>
      </c>
      <c r="Y74" t="s">
        <v>35</v>
      </c>
      <c r="Z74" t="s">
        <v>36</v>
      </c>
      <c r="AA74">
        <v>67064</v>
      </c>
      <c r="AB74">
        <v>9.3000000000000007</v>
      </c>
      <c r="AC74" t="s">
        <v>58</v>
      </c>
      <c r="AD74">
        <f t="shared" si="1"/>
        <v>12</v>
      </c>
      <c r="AF74" s="2">
        <f t="shared" si="2"/>
        <v>-0.12046543463381099</v>
      </c>
      <c r="AG74" s="2">
        <f t="shared" si="3"/>
        <v>0.12046543463381099</v>
      </c>
    </row>
    <row r="75" spans="1:35" x14ac:dyDescent="0.35">
      <c r="A75" t="s">
        <v>145</v>
      </c>
      <c r="B75" t="s">
        <v>145</v>
      </c>
      <c r="C75" t="s">
        <v>32</v>
      </c>
      <c r="D75" t="s">
        <v>33</v>
      </c>
      <c r="E75" t="s">
        <v>51</v>
      </c>
      <c r="F75" s="2">
        <v>8.4024640657084202</v>
      </c>
      <c r="G75">
        <v>10</v>
      </c>
      <c r="H75">
        <v>22</v>
      </c>
      <c r="I75">
        <v>199</v>
      </c>
      <c r="J75" t="s">
        <v>35</v>
      </c>
      <c r="K75" t="s">
        <v>36</v>
      </c>
      <c r="L75">
        <v>67064</v>
      </c>
      <c r="M75">
        <v>8.4</v>
      </c>
      <c r="N75" t="s">
        <v>32</v>
      </c>
      <c r="P75" t="s">
        <v>151</v>
      </c>
      <c r="Q75" t="s">
        <v>151</v>
      </c>
      <c r="R75" t="s">
        <v>58</v>
      </c>
      <c r="S75" t="s">
        <v>33</v>
      </c>
      <c r="T75" t="s">
        <v>51</v>
      </c>
      <c r="U75" s="2">
        <v>9.4565366187542796</v>
      </c>
      <c r="V75">
        <v>0</v>
      </c>
      <c r="W75">
        <v>16</v>
      </c>
      <c r="X75">
        <v>1751</v>
      </c>
      <c r="Y75" t="s">
        <v>35</v>
      </c>
      <c r="Z75" t="s">
        <v>36</v>
      </c>
      <c r="AA75">
        <v>67064</v>
      </c>
      <c r="AB75">
        <v>9.5</v>
      </c>
      <c r="AC75" t="s">
        <v>58</v>
      </c>
      <c r="AD75">
        <f t="shared" si="1"/>
        <v>10</v>
      </c>
      <c r="AF75" s="2">
        <f t="shared" si="2"/>
        <v>-1.0540725530458595</v>
      </c>
      <c r="AG75" s="2">
        <f t="shared" si="3"/>
        <v>1.0540725530458595</v>
      </c>
    </row>
    <row r="76" spans="1:35" x14ac:dyDescent="0.35">
      <c r="A76" t="s">
        <v>115</v>
      </c>
      <c r="B76" t="s">
        <v>115</v>
      </c>
      <c r="C76" t="s">
        <v>32</v>
      </c>
      <c r="D76" t="s">
        <v>33</v>
      </c>
      <c r="E76" t="s">
        <v>34</v>
      </c>
      <c r="F76" s="2">
        <v>9.9958932238192997</v>
      </c>
      <c r="G76">
        <v>20</v>
      </c>
      <c r="H76">
        <v>25</v>
      </c>
      <c r="I76">
        <v>129</v>
      </c>
      <c r="J76" t="s">
        <v>35</v>
      </c>
      <c r="K76" t="s">
        <v>36</v>
      </c>
      <c r="L76">
        <v>67064</v>
      </c>
      <c r="M76">
        <v>10</v>
      </c>
      <c r="N76" t="s">
        <v>32</v>
      </c>
      <c r="P76" t="s">
        <v>57</v>
      </c>
      <c r="Q76" t="s">
        <v>57</v>
      </c>
      <c r="R76" t="s">
        <v>58</v>
      </c>
      <c r="S76" t="s">
        <v>33</v>
      </c>
      <c r="T76" t="s">
        <v>34</v>
      </c>
      <c r="U76" s="2">
        <v>9.6180698151950708</v>
      </c>
      <c r="V76">
        <v>5</v>
      </c>
      <c r="W76">
        <v>15</v>
      </c>
      <c r="X76">
        <v>2104</v>
      </c>
      <c r="Y76" t="s">
        <v>35</v>
      </c>
      <c r="Z76" t="s">
        <v>36</v>
      </c>
      <c r="AA76">
        <v>67064</v>
      </c>
      <c r="AB76">
        <v>9.6</v>
      </c>
      <c r="AC76" t="s">
        <v>58</v>
      </c>
      <c r="AD76">
        <f t="shared" si="1"/>
        <v>9</v>
      </c>
      <c r="AF76" s="2">
        <f t="shared" si="2"/>
        <v>0.37782340862422892</v>
      </c>
      <c r="AG76" s="2">
        <f t="shared" si="3"/>
        <v>0.37782340862422892</v>
      </c>
      <c r="AH76" s="2">
        <f>AVERAGE(AF76:AF78)</f>
        <v>0.4084417065936628</v>
      </c>
      <c r="AI76" s="2">
        <f>AVERAGE(AG76:AG78)</f>
        <v>0.4084417065936628</v>
      </c>
    </row>
    <row r="77" spans="1:35" x14ac:dyDescent="0.35">
      <c r="A77" t="s">
        <v>47</v>
      </c>
      <c r="B77" t="s">
        <v>47</v>
      </c>
      <c r="C77" t="s">
        <v>32</v>
      </c>
      <c r="D77" t="s">
        <v>33</v>
      </c>
      <c r="E77" t="s">
        <v>34</v>
      </c>
      <c r="F77" s="2">
        <v>10.3162217659138</v>
      </c>
      <c r="G77">
        <v>0</v>
      </c>
      <c r="H77">
        <v>10</v>
      </c>
      <c r="I77">
        <v>95</v>
      </c>
      <c r="J77" t="s">
        <v>35</v>
      </c>
      <c r="K77" t="s">
        <v>36</v>
      </c>
      <c r="L77">
        <v>67064</v>
      </c>
      <c r="M77">
        <v>10.3</v>
      </c>
      <c r="N77" t="s">
        <v>37</v>
      </c>
      <c r="P77" t="s">
        <v>101</v>
      </c>
      <c r="Q77" t="s">
        <v>101</v>
      </c>
      <c r="R77" t="s">
        <v>58</v>
      </c>
      <c r="S77" t="s">
        <v>33</v>
      </c>
      <c r="T77" t="s">
        <v>34</v>
      </c>
      <c r="U77" s="2">
        <v>9.8000000000000007</v>
      </c>
      <c r="V77">
        <v>0</v>
      </c>
      <c r="W77">
        <v>22</v>
      </c>
      <c r="X77">
        <v>2426</v>
      </c>
      <c r="Y77" t="s">
        <v>35</v>
      </c>
      <c r="Z77" t="s">
        <v>36</v>
      </c>
      <c r="AA77">
        <v>67064</v>
      </c>
      <c r="AB77">
        <v>9.8000000000000007</v>
      </c>
      <c r="AC77" t="s">
        <v>58</v>
      </c>
      <c r="AD77">
        <f t="shared" si="1"/>
        <v>9</v>
      </c>
      <c r="AF77" s="2">
        <f t="shared" si="2"/>
        <v>0.51622176591379976</v>
      </c>
      <c r="AG77" s="2">
        <f t="shared" si="3"/>
        <v>0.51622176591379976</v>
      </c>
      <c r="AH77" s="2"/>
      <c r="AI77" s="2"/>
    </row>
    <row r="78" spans="1:35" x14ac:dyDescent="0.35">
      <c r="A78" t="s">
        <v>143</v>
      </c>
      <c r="B78" t="s">
        <v>143</v>
      </c>
      <c r="C78" t="s">
        <v>32</v>
      </c>
      <c r="D78" t="s">
        <v>33</v>
      </c>
      <c r="E78" t="s">
        <v>34</v>
      </c>
      <c r="F78" s="2">
        <v>10.321697467488001</v>
      </c>
      <c r="G78">
        <v>0</v>
      </c>
      <c r="H78">
        <v>12</v>
      </c>
      <c r="I78">
        <v>112</v>
      </c>
      <c r="J78" t="s">
        <v>35</v>
      </c>
      <c r="K78" t="s">
        <v>36</v>
      </c>
      <c r="L78">
        <v>67064</v>
      </c>
      <c r="M78">
        <v>10.3</v>
      </c>
      <c r="N78" t="s">
        <v>32</v>
      </c>
      <c r="P78" t="s">
        <v>150</v>
      </c>
      <c r="Q78" t="s">
        <v>150</v>
      </c>
      <c r="R78" t="s">
        <v>58</v>
      </c>
      <c r="S78" t="s">
        <v>33</v>
      </c>
      <c r="T78" t="s">
        <v>34</v>
      </c>
      <c r="U78" s="2">
        <v>9.9904175222450409</v>
      </c>
      <c r="V78">
        <v>0</v>
      </c>
      <c r="W78">
        <v>26</v>
      </c>
      <c r="X78">
        <v>2554</v>
      </c>
      <c r="Y78" t="s">
        <v>35</v>
      </c>
      <c r="Z78" t="s">
        <v>36</v>
      </c>
      <c r="AA78">
        <v>67064</v>
      </c>
      <c r="AB78">
        <v>10</v>
      </c>
      <c r="AC78" t="s">
        <v>58</v>
      </c>
      <c r="AD78">
        <f t="shared" si="1"/>
        <v>8</v>
      </c>
      <c r="AF78" s="2">
        <f t="shared" si="2"/>
        <v>0.33127994524295978</v>
      </c>
      <c r="AG78" s="2">
        <f t="shared" si="3"/>
        <v>0.33127994524295978</v>
      </c>
    </row>
    <row r="79" spans="1:35" x14ac:dyDescent="0.35">
      <c r="A79" t="s">
        <v>111</v>
      </c>
      <c r="B79" t="s">
        <v>111</v>
      </c>
      <c r="C79" t="s">
        <v>32</v>
      </c>
      <c r="D79" t="s">
        <v>33</v>
      </c>
      <c r="E79" t="s">
        <v>51</v>
      </c>
      <c r="F79" s="2">
        <v>8.7720739219712502</v>
      </c>
      <c r="G79">
        <v>0</v>
      </c>
      <c r="H79">
        <v>17</v>
      </c>
      <c r="I79">
        <v>75</v>
      </c>
      <c r="J79" t="s">
        <v>35</v>
      </c>
      <c r="K79" t="s">
        <v>36</v>
      </c>
      <c r="L79">
        <v>67064</v>
      </c>
      <c r="M79">
        <v>8.8000000000000007</v>
      </c>
      <c r="N79" t="s">
        <v>32</v>
      </c>
      <c r="P79" t="s">
        <v>147</v>
      </c>
      <c r="Q79" t="s">
        <v>147</v>
      </c>
      <c r="R79" t="s">
        <v>58</v>
      </c>
      <c r="S79" t="s">
        <v>33</v>
      </c>
      <c r="T79" t="s">
        <v>51</v>
      </c>
      <c r="U79" s="2">
        <v>10.652977412731</v>
      </c>
      <c r="V79">
        <v>10</v>
      </c>
      <c r="W79">
        <v>19</v>
      </c>
      <c r="X79">
        <v>931</v>
      </c>
      <c r="Y79" t="s">
        <v>35</v>
      </c>
      <c r="Z79" t="s">
        <v>36</v>
      </c>
      <c r="AA79">
        <v>67064</v>
      </c>
      <c r="AB79">
        <v>10.7</v>
      </c>
      <c r="AC79" t="s">
        <v>58</v>
      </c>
      <c r="AD79">
        <f t="shared" si="1"/>
        <v>6</v>
      </c>
      <c r="AF79" s="2">
        <f t="shared" si="2"/>
        <v>-1.8809034907597493</v>
      </c>
      <c r="AG79" s="2">
        <f t="shared" si="3"/>
        <v>1.8809034907597493</v>
      </c>
    </row>
    <row r="80" spans="1:35" x14ac:dyDescent="0.35">
      <c r="A80" t="s">
        <v>60</v>
      </c>
      <c r="B80" t="s">
        <v>60</v>
      </c>
      <c r="C80" t="s">
        <v>32</v>
      </c>
      <c r="D80" t="s">
        <v>33</v>
      </c>
      <c r="E80" t="s">
        <v>51</v>
      </c>
      <c r="F80" s="2">
        <v>9.7221081451060893</v>
      </c>
      <c r="G80">
        <v>20</v>
      </c>
      <c r="H80">
        <v>18</v>
      </c>
      <c r="I80">
        <v>112</v>
      </c>
      <c r="J80" t="s">
        <v>35</v>
      </c>
      <c r="K80" t="s">
        <v>36</v>
      </c>
      <c r="L80">
        <v>67064</v>
      </c>
      <c r="M80">
        <v>9.6999999999999993</v>
      </c>
      <c r="N80" t="s">
        <v>32</v>
      </c>
      <c r="P80" t="s">
        <v>81</v>
      </c>
      <c r="Q80" t="s">
        <v>81</v>
      </c>
      <c r="R80" t="s">
        <v>58</v>
      </c>
      <c r="S80" t="s">
        <v>33</v>
      </c>
      <c r="T80" t="s">
        <v>51</v>
      </c>
      <c r="U80" s="2">
        <v>10.7323750855578</v>
      </c>
      <c r="V80">
        <v>10</v>
      </c>
      <c r="W80">
        <v>13</v>
      </c>
      <c r="X80">
        <v>907</v>
      </c>
      <c r="Y80" t="s">
        <v>35</v>
      </c>
      <c r="Z80" t="s">
        <v>36</v>
      </c>
      <c r="AA80">
        <v>67064</v>
      </c>
      <c r="AB80">
        <v>10.7</v>
      </c>
      <c r="AC80" t="s">
        <v>77</v>
      </c>
      <c r="AD80">
        <f>COUNTIFS(M$2:M$46,"&gt;"&amp;AB80 -1,M$2:M$46,"&lt;"&amp;AB80 +1)</f>
        <v>6</v>
      </c>
      <c r="AF80" s="2">
        <f t="shared" si="2"/>
        <v>-1.0102669404517108</v>
      </c>
      <c r="AG80" s="2">
        <f t="shared" si="3"/>
        <v>1.0102669404517108</v>
      </c>
    </row>
    <row r="81" spans="1:33" x14ac:dyDescent="0.35">
      <c r="A81" t="s">
        <v>45</v>
      </c>
      <c r="B81" t="s">
        <v>45</v>
      </c>
      <c r="C81" t="s">
        <v>32</v>
      </c>
      <c r="D81" t="s">
        <v>33</v>
      </c>
      <c r="E81" t="s">
        <v>34</v>
      </c>
      <c r="F81" s="2">
        <v>10.6502395619439</v>
      </c>
      <c r="G81">
        <v>10</v>
      </c>
      <c r="H81">
        <v>13</v>
      </c>
      <c r="I81">
        <v>107</v>
      </c>
      <c r="J81" t="s">
        <v>35</v>
      </c>
      <c r="K81" t="s">
        <v>36</v>
      </c>
      <c r="L81">
        <v>67064</v>
      </c>
      <c r="M81">
        <v>10.7</v>
      </c>
      <c r="N81" t="s">
        <v>37</v>
      </c>
      <c r="P81" t="s">
        <v>109</v>
      </c>
      <c r="Q81" t="s">
        <v>109</v>
      </c>
      <c r="R81" t="s">
        <v>58</v>
      </c>
      <c r="S81" t="s">
        <v>33</v>
      </c>
      <c r="T81" t="s">
        <v>34</v>
      </c>
      <c r="U81" s="2">
        <v>10.8829568788501</v>
      </c>
      <c r="V81">
        <v>0</v>
      </c>
      <c r="W81">
        <v>11</v>
      </c>
      <c r="X81">
        <v>1921</v>
      </c>
      <c r="Y81" t="s">
        <v>35</v>
      </c>
      <c r="Z81" t="s">
        <v>36</v>
      </c>
      <c r="AA81">
        <v>67064</v>
      </c>
      <c r="AB81">
        <v>10.9</v>
      </c>
      <c r="AC81" t="s">
        <v>58</v>
      </c>
      <c r="AD81">
        <f t="shared" ref="AD81:AD82" si="4">COUNTIFS(M$2:M$46,"&gt;"&amp;AB81 -1,M$2:M$46,"&lt;"&amp;AB81 +1)</f>
        <v>6</v>
      </c>
      <c r="AF81" s="2">
        <f t="shared" si="2"/>
        <v>-0.23271731690620001</v>
      </c>
      <c r="AG81" s="2">
        <f t="shared" si="3"/>
        <v>0.23271731690620001</v>
      </c>
    </row>
    <row r="82" spans="1:33" x14ac:dyDescent="0.35">
      <c r="A82" t="s">
        <v>104</v>
      </c>
      <c r="B82" t="s">
        <v>104</v>
      </c>
      <c r="C82" t="s">
        <v>32</v>
      </c>
      <c r="D82" t="s">
        <v>33</v>
      </c>
      <c r="E82" t="s">
        <v>34</v>
      </c>
      <c r="F82" s="2">
        <v>10.9541409993155</v>
      </c>
      <c r="G82">
        <v>10</v>
      </c>
      <c r="H82">
        <v>7</v>
      </c>
      <c r="I82">
        <v>33</v>
      </c>
      <c r="J82" t="s">
        <v>35</v>
      </c>
      <c r="K82" t="s">
        <v>36</v>
      </c>
      <c r="L82">
        <v>67064</v>
      </c>
      <c r="M82">
        <v>11</v>
      </c>
      <c r="N82" t="s">
        <v>32</v>
      </c>
      <c r="P82" t="s">
        <v>116</v>
      </c>
      <c r="Q82" t="s">
        <v>116</v>
      </c>
      <c r="R82" t="s">
        <v>58</v>
      </c>
      <c r="S82" t="s">
        <v>33</v>
      </c>
      <c r="T82" t="s">
        <v>34</v>
      </c>
      <c r="U82" s="2">
        <v>10.984257357974</v>
      </c>
      <c r="V82">
        <v>5</v>
      </c>
      <c r="W82">
        <v>29</v>
      </c>
      <c r="X82">
        <v>1767</v>
      </c>
      <c r="Y82" t="s">
        <v>35</v>
      </c>
      <c r="Z82" t="s">
        <v>36</v>
      </c>
      <c r="AA82">
        <v>67064</v>
      </c>
      <c r="AB82">
        <v>11</v>
      </c>
      <c r="AC82" t="s">
        <v>58</v>
      </c>
      <c r="AD82">
        <f t="shared" si="4"/>
        <v>5</v>
      </c>
      <c r="AF82" s="2">
        <f t="shared" si="2"/>
        <v>-3.011635865849982E-2</v>
      </c>
      <c r="AG82" s="2">
        <f t="shared" si="3"/>
        <v>3.011635865849982E-2</v>
      </c>
    </row>
    <row r="84" spans="1:33" x14ac:dyDescent="0.35">
      <c r="AE84" s="3" t="s">
        <v>156</v>
      </c>
      <c r="AF84" s="4">
        <f>AVERAGE(AF50:AF82)</f>
        <v>-9.3687256244169764E-2</v>
      </c>
      <c r="AG84" s="4">
        <f>AVERAGE(AG50:AG82)</f>
        <v>0.25755177411279634</v>
      </c>
    </row>
    <row r="85" spans="1:33" x14ac:dyDescent="0.35">
      <c r="AE85" s="3" t="s">
        <v>158</v>
      </c>
      <c r="AG85" s="4">
        <f>PERCENTILE(AG50:AG82,90%)</f>
        <v>0.50606433949353191</v>
      </c>
    </row>
    <row r="86" spans="1:33" x14ac:dyDescent="0.35">
      <c r="AE86" s="3" t="s">
        <v>157</v>
      </c>
      <c r="AG86" s="4">
        <f>MAX(AG50:AG82)</f>
        <v>1.8809034907597493</v>
      </c>
    </row>
    <row r="87" spans="1:33" x14ac:dyDescent="0.35">
      <c r="AE87" s="5" t="s">
        <v>159</v>
      </c>
      <c r="AF87" s="6">
        <f>AVERAGE(AF79:AF80,AF75,AF63,AF61)</f>
        <v>-0.62751540041066978</v>
      </c>
      <c r="AG87" s="6">
        <f>AVERAGE(AG79:AG80,AG75,AG63,AG61)</f>
        <v>0.950581793292258</v>
      </c>
    </row>
  </sheetData>
  <sortState xmlns:xlrd2="http://schemas.microsoft.com/office/spreadsheetml/2017/richdata2" ref="P2:AC34">
    <sortCondition ref="U2:U34"/>
  </sortState>
  <conditionalFormatting sqref="E2:E46 T2:T34">
    <cfRule type="cellIs" dxfId="66" priority="74" operator="equal">
      <formula>"nonR"</formula>
    </cfRule>
  </conditionalFormatting>
  <conditionalFormatting sqref="M2:M46 AB2:AB34">
    <cfRule type="colorScale" priority="73">
      <colorScale>
        <cfvo type="num" val="5"/>
        <cfvo type="num" val="11"/>
        <color theme="0"/>
        <color rgb="FF63BE7B"/>
      </colorScale>
    </cfRule>
  </conditionalFormatting>
  <conditionalFormatting sqref="AD2:AD34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0:T82">
    <cfRule type="cellIs" dxfId="65" priority="68" operator="equal">
      <formula>"nonR"</formula>
    </cfRule>
  </conditionalFormatting>
  <conditionalFormatting sqref="AB50:AB82">
    <cfRule type="colorScale" priority="67">
      <colorScale>
        <cfvo type="num" val="5"/>
        <cfvo type="num" val="11"/>
        <color theme="0"/>
        <color rgb="FF63BE7B"/>
      </colorScale>
    </cfRule>
  </conditionalFormatting>
  <conditionalFormatting sqref="AD50:AD82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9">
    <cfRule type="cellIs" dxfId="64" priority="65" operator="equal">
      <formula>"nonR"</formula>
    </cfRule>
  </conditionalFormatting>
  <conditionalFormatting sqref="M79">
    <cfRule type="colorScale" priority="64">
      <colorScale>
        <cfvo type="num" val="5"/>
        <cfvo type="num" val="11"/>
        <color theme="0"/>
        <color rgb="FF63BE7B"/>
      </colorScale>
    </cfRule>
  </conditionalFormatting>
  <conditionalFormatting sqref="E80">
    <cfRule type="cellIs" dxfId="63" priority="63" operator="equal">
      <formula>"nonR"</formula>
    </cfRule>
  </conditionalFormatting>
  <conditionalFormatting sqref="M80">
    <cfRule type="colorScale" priority="62">
      <colorScale>
        <cfvo type="num" val="5"/>
        <cfvo type="num" val="11"/>
        <color theme="0"/>
        <color rgb="FF63BE7B"/>
      </colorScale>
    </cfRule>
  </conditionalFormatting>
  <conditionalFormatting sqref="E75">
    <cfRule type="cellIs" dxfId="62" priority="61" operator="equal">
      <formula>"nonR"</formula>
    </cfRule>
  </conditionalFormatting>
  <conditionalFormatting sqref="M75">
    <cfRule type="colorScale" priority="60">
      <colorScale>
        <cfvo type="num" val="5"/>
        <cfvo type="num" val="11"/>
        <color theme="0"/>
        <color rgb="FF63BE7B"/>
      </colorScale>
    </cfRule>
  </conditionalFormatting>
  <conditionalFormatting sqref="E63">
    <cfRule type="cellIs" dxfId="61" priority="59" operator="equal">
      <formula>"nonR"</formula>
    </cfRule>
  </conditionalFormatting>
  <conditionalFormatting sqref="M63">
    <cfRule type="colorScale" priority="58">
      <colorScale>
        <cfvo type="num" val="5"/>
        <cfvo type="num" val="11"/>
        <color theme="0"/>
        <color rgb="FF63BE7B"/>
      </colorScale>
    </cfRule>
  </conditionalFormatting>
  <conditionalFormatting sqref="E61">
    <cfRule type="cellIs" dxfId="60" priority="57" operator="equal">
      <formula>"nonR"</formula>
    </cfRule>
  </conditionalFormatting>
  <conditionalFormatting sqref="M61">
    <cfRule type="colorScale" priority="56">
      <colorScale>
        <cfvo type="num" val="5"/>
        <cfvo type="num" val="11"/>
        <color theme="0"/>
        <color rgb="FF63BE7B"/>
      </colorScale>
    </cfRule>
  </conditionalFormatting>
  <conditionalFormatting sqref="E50">
    <cfRule type="cellIs" dxfId="59" priority="55" operator="equal">
      <formula>"nonR"</formula>
    </cfRule>
  </conditionalFormatting>
  <conditionalFormatting sqref="M50">
    <cfRule type="colorScale" priority="54">
      <colorScale>
        <cfvo type="num" val="5"/>
        <cfvo type="num" val="11"/>
        <color theme="0"/>
        <color rgb="FF63BE7B"/>
      </colorScale>
    </cfRule>
  </conditionalFormatting>
  <conditionalFormatting sqref="E82">
    <cfRule type="cellIs" dxfId="58" priority="53" operator="equal">
      <formula>"nonR"</formula>
    </cfRule>
  </conditionalFormatting>
  <conditionalFormatting sqref="M82">
    <cfRule type="colorScale" priority="52">
      <colorScale>
        <cfvo type="num" val="5"/>
        <cfvo type="num" val="11"/>
        <color theme="0"/>
        <color rgb="FF63BE7B"/>
      </colorScale>
    </cfRule>
  </conditionalFormatting>
  <conditionalFormatting sqref="E81">
    <cfRule type="cellIs" dxfId="57" priority="51" operator="equal">
      <formula>"nonR"</formula>
    </cfRule>
  </conditionalFormatting>
  <conditionalFormatting sqref="M81">
    <cfRule type="colorScale" priority="50">
      <colorScale>
        <cfvo type="num" val="5"/>
        <cfvo type="num" val="11"/>
        <color theme="0"/>
        <color rgb="FF63BE7B"/>
      </colorScale>
    </cfRule>
  </conditionalFormatting>
  <conditionalFormatting sqref="E76:E77">
    <cfRule type="cellIs" dxfId="56" priority="47" operator="equal">
      <formula>"nonR"</formula>
    </cfRule>
  </conditionalFormatting>
  <conditionalFormatting sqref="M76:M77">
    <cfRule type="colorScale" priority="46">
      <colorScale>
        <cfvo type="num" val="5"/>
        <cfvo type="num" val="11"/>
        <color theme="0"/>
        <color rgb="FF63BE7B"/>
      </colorScale>
    </cfRule>
  </conditionalFormatting>
  <conditionalFormatting sqref="E76">
    <cfRule type="cellIs" dxfId="55" priority="45" operator="equal">
      <formula>"nonR"</formula>
    </cfRule>
  </conditionalFormatting>
  <conditionalFormatting sqref="M76">
    <cfRule type="colorScale" priority="44">
      <colorScale>
        <cfvo type="num" val="5"/>
        <cfvo type="num" val="11"/>
        <color theme="0"/>
        <color rgb="FF63BE7B"/>
      </colorScale>
    </cfRule>
  </conditionalFormatting>
  <conditionalFormatting sqref="E54">
    <cfRule type="cellIs" dxfId="54" priority="41" operator="equal">
      <formula>"nonR"</formula>
    </cfRule>
  </conditionalFormatting>
  <conditionalFormatting sqref="M54">
    <cfRule type="colorScale" priority="40">
      <colorScale>
        <cfvo type="num" val="5"/>
        <cfvo type="num" val="11"/>
        <color theme="0"/>
        <color rgb="FF63BE7B"/>
      </colorScale>
    </cfRule>
  </conditionalFormatting>
  <conditionalFormatting sqref="E72">
    <cfRule type="cellIs" dxfId="53" priority="39" operator="equal">
      <formula>"nonR"</formula>
    </cfRule>
  </conditionalFormatting>
  <conditionalFormatting sqref="M72">
    <cfRule type="colorScale" priority="38">
      <colorScale>
        <cfvo type="num" val="5"/>
        <cfvo type="num" val="11"/>
        <color theme="0"/>
        <color rgb="FF63BE7B"/>
      </colorScale>
    </cfRule>
  </conditionalFormatting>
  <conditionalFormatting sqref="E53">
    <cfRule type="cellIs" dxfId="52" priority="37" operator="equal">
      <formula>"nonR"</formula>
    </cfRule>
  </conditionalFormatting>
  <conditionalFormatting sqref="M53">
    <cfRule type="colorScale" priority="36">
      <colorScale>
        <cfvo type="num" val="5"/>
        <cfvo type="num" val="11"/>
        <color theme="0"/>
        <color rgb="FF63BE7B"/>
      </colorScale>
    </cfRule>
  </conditionalFormatting>
  <conditionalFormatting sqref="E58">
    <cfRule type="cellIs" dxfId="51" priority="35" operator="equal">
      <formula>"nonR"</formula>
    </cfRule>
  </conditionalFormatting>
  <conditionalFormatting sqref="M58">
    <cfRule type="colorScale" priority="34">
      <colorScale>
        <cfvo type="num" val="5"/>
        <cfvo type="num" val="11"/>
        <color theme="0"/>
        <color rgb="FF63BE7B"/>
      </colorScale>
    </cfRule>
  </conditionalFormatting>
  <conditionalFormatting sqref="E51">
    <cfRule type="cellIs" dxfId="50" priority="33" operator="equal">
      <formula>"nonR"</formula>
    </cfRule>
  </conditionalFormatting>
  <conditionalFormatting sqref="M51">
    <cfRule type="colorScale" priority="32">
      <colorScale>
        <cfvo type="num" val="5"/>
        <cfvo type="num" val="11"/>
        <color theme="0"/>
        <color rgb="FF63BE7B"/>
      </colorScale>
    </cfRule>
  </conditionalFormatting>
  <conditionalFormatting sqref="E52">
    <cfRule type="cellIs" dxfId="49" priority="31" operator="equal">
      <formula>"nonR"</formula>
    </cfRule>
  </conditionalFormatting>
  <conditionalFormatting sqref="M52">
    <cfRule type="colorScale" priority="30">
      <colorScale>
        <cfvo type="num" val="5"/>
        <cfvo type="num" val="11"/>
        <color theme="0"/>
        <color rgb="FF63BE7B"/>
      </colorScale>
    </cfRule>
  </conditionalFormatting>
  <conditionalFormatting sqref="E56:E58">
    <cfRule type="cellIs" dxfId="48" priority="27" operator="equal">
      <formula>"nonR"</formula>
    </cfRule>
  </conditionalFormatting>
  <conditionalFormatting sqref="M56:M58">
    <cfRule type="colorScale" priority="26">
      <colorScale>
        <cfvo type="num" val="5"/>
        <cfvo type="num" val="11"/>
        <color theme="0"/>
        <color rgb="FF63BE7B"/>
      </colorScale>
    </cfRule>
  </conditionalFormatting>
  <conditionalFormatting sqref="E59">
    <cfRule type="cellIs" dxfId="47" priority="25" operator="equal">
      <formula>"nonR"</formula>
    </cfRule>
  </conditionalFormatting>
  <conditionalFormatting sqref="M59">
    <cfRule type="colorScale" priority="24">
      <colorScale>
        <cfvo type="num" val="5"/>
        <cfvo type="num" val="11"/>
        <color theme="0"/>
        <color rgb="FF63BE7B"/>
      </colorScale>
    </cfRule>
  </conditionalFormatting>
  <conditionalFormatting sqref="E70:E71">
    <cfRule type="cellIs" dxfId="46" priority="23" operator="equal">
      <formula>"nonR"</formula>
    </cfRule>
  </conditionalFormatting>
  <conditionalFormatting sqref="M70:M71">
    <cfRule type="colorScale" priority="22">
      <colorScale>
        <cfvo type="num" val="5"/>
        <cfvo type="num" val="11"/>
        <color theme="0"/>
        <color rgb="FF63BE7B"/>
      </colorScale>
    </cfRule>
  </conditionalFormatting>
  <conditionalFormatting sqref="E73">
    <cfRule type="cellIs" dxfId="45" priority="21" operator="equal">
      <formula>"nonR"</formula>
    </cfRule>
  </conditionalFormatting>
  <conditionalFormatting sqref="M73">
    <cfRule type="colorScale" priority="20">
      <colorScale>
        <cfvo type="num" val="5"/>
        <cfvo type="num" val="11"/>
        <color theme="0"/>
        <color rgb="FF63BE7B"/>
      </colorScale>
    </cfRule>
  </conditionalFormatting>
  <conditionalFormatting sqref="E74">
    <cfRule type="cellIs" dxfId="44" priority="19" operator="equal">
      <formula>"nonR"</formula>
    </cfRule>
  </conditionalFormatting>
  <conditionalFormatting sqref="M74">
    <cfRule type="colorScale" priority="18">
      <colorScale>
        <cfvo type="num" val="5"/>
        <cfvo type="num" val="11"/>
        <color theme="0"/>
        <color rgb="FF63BE7B"/>
      </colorScale>
    </cfRule>
  </conditionalFormatting>
  <conditionalFormatting sqref="E78">
    <cfRule type="cellIs" dxfId="43" priority="17" operator="equal">
      <formula>"nonR"</formula>
    </cfRule>
  </conditionalFormatting>
  <conditionalFormatting sqref="M78">
    <cfRule type="colorScale" priority="16">
      <colorScale>
        <cfvo type="num" val="5"/>
        <cfvo type="num" val="11"/>
        <color theme="0"/>
        <color rgb="FF63BE7B"/>
      </colorScale>
    </cfRule>
  </conditionalFormatting>
  <conditionalFormatting sqref="E62">
    <cfRule type="cellIs" dxfId="42" priority="13" operator="equal">
      <formula>"nonR"</formula>
    </cfRule>
  </conditionalFormatting>
  <conditionalFormatting sqref="M62">
    <cfRule type="colorScale" priority="12">
      <colorScale>
        <cfvo type="num" val="5"/>
        <cfvo type="num" val="11"/>
        <color theme="0"/>
        <color rgb="FF63BE7B"/>
      </colorScale>
    </cfRule>
  </conditionalFormatting>
  <conditionalFormatting sqref="E67:E69">
    <cfRule type="cellIs" dxfId="41" priority="11" operator="equal">
      <formula>"nonR"</formula>
    </cfRule>
  </conditionalFormatting>
  <conditionalFormatting sqref="M67:M69">
    <cfRule type="colorScale" priority="10">
      <colorScale>
        <cfvo type="num" val="5"/>
        <cfvo type="num" val="11"/>
        <color theme="0"/>
        <color rgb="FF63BE7B"/>
      </colorScale>
    </cfRule>
  </conditionalFormatting>
  <conditionalFormatting sqref="E64:E65">
    <cfRule type="cellIs" dxfId="40" priority="9" operator="equal">
      <formula>"nonR"</formula>
    </cfRule>
  </conditionalFormatting>
  <conditionalFormatting sqref="M64:M65">
    <cfRule type="colorScale" priority="8">
      <colorScale>
        <cfvo type="num" val="5"/>
        <cfvo type="num" val="11"/>
        <color theme="0"/>
        <color rgb="FF63BE7B"/>
      </colorScale>
    </cfRule>
  </conditionalFormatting>
  <conditionalFormatting sqref="E66">
    <cfRule type="cellIs" dxfId="39" priority="7" operator="equal">
      <formula>"nonR"</formula>
    </cfRule>
  </conditionalFormatting>
  <conditionalFormatting sqref="M66">
    <cfRule type="colorScale" priority="6">
      <colorScale>
        <cfvo type="num" val="5"/>
        <cfvo type="num" val="11"/>
        <color theme="0"/>
        <color rgb="FF63BE7B"/>
      </colorScale>
    </cfRule>
  </conditionalFormatting>
  <conditionalFormatting sqref="E60">
    <cfRule type="cellIs" dxfId="38" priority="5" operator="equal">
      <formula>"nonR"</formula>
    </cfRule>
  </conditionalFormatting>
  <conditionalFormatting sqref="M60">
    <cfRule type="colorScale" priority="4">
      <colorScale>
        <cfvo type="num" val="5"/>
        <cfvo type="num" val="11"/>
        <color theme="0"/>
        <color rgb="FF63BE7B"/>
      </colorScale>
    </cfRule>
  </conditionalFormatting>
  <conditionalFormatting sqref="E55">
    <cfRule type="cellIs" dxfId="37" priority="3" operator="equal">
      <formula>"nonR"</formula>
    </cfRule>
  </conditionalFormatting>
  <conditionalFormatting sqref="M55">
    <cfRule type="colorScale" priority="2">
      <colorScale>
        <cfvo type="num" val="5"/>
        <cfvo type="num" val="11"/>
        <color theme="0"/>
        <color rgb="FF63BE7B"/>
      </colorScale>
    </cfRule>
  </conditionalFormatting>
  <conditionalFormatting sqref="AG50:AG82">
    <cfRule type="colorScale" priority="1">
      <colorScale>
        <cfvo type="num" val="0"/>
        <cfvo type="num" val="1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14A1-257C-47E4-A0C8-C4D380237CC9}">
  <dimension ref="A1:AG48"/>
  <sheetViews>
    <sheetView tabSelected="1" topLeftCell="D20" workbookViewId="0">
      <selection activeCell="AD45" sqref="AD45"/>
    </sheetView>
  </sheetViews>
  <sheetFormatPr defaultRowHeight="14.5" x14ac:dyDescent="0.35"/>
  <sheetData>
    <row r="1" spans="1:33" x14ac:dyDescent="0.35">
      <c r="A1" t="s">
        <v>0</v>
      </c>
      <c r="B1" t="s">
        <v>1</v>
      </c>
      <c r="C1" s="10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1</v>
      </c>
      <c r="R1" s="9" t="s">
        <v>2</v>
      </c>
      <c r="S1" t="s">
        <v>3</v>
      </c>
      <c r="T1" t="s">
        <v>4</v>
      </c>
      <c r="U1" s="2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F1" s="3" t="s">
        <v>160</v>
      </c>
      <c r="AG1" s="3" t="s">
        <v>163</v>
      </c>
    </row>
    <row r="2" spans="1:33" x14ac:dyDescent="0.35">
      <c r="A2" t="s">
        <v>53</v>
      </c>
      <c r="B2" t="s">
        <v>53</v>
      </c>
      <c r="C2" s="7" t="s">
        <v>32</v>
      </c>
      <c r="D2" t="s">
        <v>54</v>
      </c>
      <c r="E2" t="s">
        <v>34</v>
      </c>
      <c r="F2" s="2">
        <v>5.63997262149213</v>
      </c>
      <c r="G2">
        <v>10</v>
      </c>
      <c r="H2">
        <v>27</v>
      </c>
      <c r="I2">
        <v>98</v>
      </c>
      <c r="J2" t="s">
        <v>35</v>
      </c>
      <c r="K2" t="s">
        <v>36</v>
      </c>
      <c r="L2">
        <v>67064</v>
      </c>
      <c r="M2">
        <v>5.6</v>
      </c>
      <c r="N2" t="s">
        <v>32</v>
      </c>
      <c r="P2" t="s">
        <v>72</v>
      </c>
      <c r="Q2" t="s">
        <v>72</v>
      </c>
      <c r="R2" s="8" t="s">
        <v>58</v>
      </c>
      <c r="S2" t="s">
        <v>54</v>
      </c>
      <c r="T2" t="s">
        <v>34</v>
      </c>
      <c r="U2" s="2">
        <v>5.1143052703627596</v>
      </c>
      <c r="V2">
        <v>0</v>
      </c>
      <c r="W2">
        <v>15</v>
      </c>
      <c r="X2">
        <v>413</v>
      </c>
      <c r="Y2" t="s">
        <v>35</v>
      </c>
      <c r="Z2" t="s">
        <v>36</v>
      </c>
      <c r="AA2">
        <v>67064</v>
      </c>
      <c r="AB2">
        <v>5.0999999999999996</v>
      </c>
      <c r="AC2" t="s">
        <v>58</v>
      </c>
      <c r="AF2" s="2">
        <f>IF(ISBLANK(F2),"",F2-U2)</f>
        <v>0.52566735112937035</v>
      </c>
      <c r="AG2" s="2">
        <f>IF(ISBLANK(F2),"",ABS(AF2))</f>
        <v>0.52566735112937035</v>
      </c>
    </row>
    <row r="3" spans="1:33" x14ac:dyDescent="0.35">
      <c r="A3" t="s">
        <v>82</v>
      </c>
      <c r="B3" t="s">
        <v>82</v>
      </c>
      <c r="C3" s="7" t="s">
        <v>32</v>
      </c>
      <c r="D3" t="s">
        <v>54</v>
      </c>
      <c r="E3" t="s">
        <v>34</v>
      </c>
      <c r="F3" s="2">
        <v>6.1546885694729596</v>
      </c>
      <c r="G3">
        <v>5</v>
      </c>
      <c r="H3">
        <v>21</v>
      </c>
      <c r="I3">
        <v>291</v>
      </c>
      <c r="J3" t="s">
        <v>35</v>
      </c>
      <c r="K3" t="s">
        <v>36</v>
      </c>
      <c r="L3">
        <v>67064</v>
      </c>
      <c r="M3">
        <v>6.2</v>
      </c>
      <c r="N3" t="s">
        <v>32</v>
      </c>
      <c r="P3" t="s">
        <v>63</v>
      </c>
      <c r="Q3" t="s">
        <v>63</v>
      </c>
      <c r="R3" s="8" t="s">
        <v>58</v>
      </c>
      <c r="S3" t="s">
        <v>54</v>
      </c>
      <c r="T3" t="s">
        <v>34</v>
      </c>
      <c r="U3" s="2">
        <v>6.1190965092402498</v>
      </c>
      <c r="V3">
        <v>10</v>
      </c>
      <c r="W3">
        <v>23</v>
      </c>
      <c r="X3">
        <v>753</v>
      </c>
      <c r="Y3" t="s">
        <v>35</v>
      </c>
      <c r="Z3" t="s">
        <v>36</v>
      </c>
      <c r="AA3">
        <v>67064</v>
      </c>
      <c r="AB3">
        <v>6.1</v>
      </c>
      <c r="AC3" t="s">
        <v>58</v>
      </c>
      <c r="AF3" s="2">
        <f>IF(ISBLANK(F3),"",F3-U3)</f>
        <v>3.5592060232709777E-2</v>
      </c>
      <c r="AG3" s="2">
        <f>IF(ISBLANK(F3),"",ABS(AF3))</f>
        <v>3.5592060232709777E-2</v>
      </c>
    </row>
    <row r="4" spans="1:33" x14ac:dyDescent="0.35">
      <c r="A4" t="s">
        <v>90</v>
      </c>
      <c r="B4" t="s">
        <v>90</v>
      </c>
      <c r="C4" s="7" t="s">
        <v>32</v>
      </c>
      <c r="D4" t="s">
        <v>54</v>
      </c>
      <c r="E4" t="s">
        <v>34</v>
      </c>
      <c r="F4" s="2">
        <v>8.8788501026694</v>
      </c>
      <c r="G4">
        <v>5</v>
      </c>
      <c r="H4">
        <v>10</v>
      </c>
      <c r="I4">
        <v>174</v>
      </c>
      <c r="J4" t="s">
        <v>35</v>
      </c>
      <c r="K4" t="s">
        <v>36</v>
      </c>
      <c r="L4">
        <v>67064</v>
      </c>
      <c r="M4">
        <v>8.9</v>
      </c>
      <c r="N4" t="s">
        <v>32</v>
      </c>
      <c r="P4" t="s">
        <v>97</v>
      </c>
      <c r="Q4" t="s">
        <v>97</v>
      </c>
      <c r="R4" s="8" t="s">
        <v>58</v>
      </c>
      <c r="S4" t="s">
        <v>54</v>
      </c>
      <c r="T4" t="s">
        <v>34</v>
      </c>
      <c r="U4" s="2">
        <v>8.7857631759069097</v>
      </c>
      <c r="V4">
        <v>10</v>
      </c>
      <c r="W4">
        <v>9</v>
      </c>
      <c r="X4">
        <v>491</v>
      </c>
      <c r="Y4" t="s">
        <v>35</v>
      </c>
      <c r="Z4" t="s">
        <v>36</v>
      </c>
      <c r="AA4">
        <v>67064</v>
      </c>
      <c r="AB4">
        <v>8.8000000000000007</v>
      </c>
      <c r="AC4" t="s">
        <v>77</v>
      </c>
      <c r="AF4" s="2">
        <f>IF(ISBLANK(F4),"",F4-U4)</f>
        <v>9.3086926762490307E-2</v>
      </c>
      <c r="AG4" s="2">
        <f>IF(ISBLANK(F4),"",ABS(AF4))</f>
        <v>9.3086926762490307E-2</v>
      </c>
    </row>
    <row r="5" spans="1:33" x14ac:dyDescent="0.35">
      <c r="A5" t="s">
        <v>106</v>
      </c>
      <c r="B5" t="s">
        <v>106</v>
      </c>
      <c r="C5" s="7" t="s">
        <v>32</v>
      </c>
      <c r="D5" t="s">
        <v>54</v>
      </c>
      <c r="E5" t="s">
        <v>34</v>
      </c>
      <c r="F5" s="2">
        <v>9.1362080766598197</v>
      </c>
      <c r="G5">
        <v>0</v>
      </c>
      <c r="H5">
        <v>24</v>
      </c>
      <c r="I5">
        <v>227</v>
      </c>
      <c r="J5" t="s">
        <v>35</v>
      </c>
      <c r="K5" t="s">
        <v>36</v>
      </c>
      <c r="L5">
        <v>67064</v>
      </c>
      <c r="M5">
        <v>9.1</v>
      </c>
      <c r="N5" t="s">
        <v>32</v>
      </c>
      <c r="P5" t="s">
        <v>117</v>
      </c>
      <c r="Q5" t="s">
        <v>117</v>
      </c>
      <c r="R5" s="8" t="s">
        <v>58</v>
      </c>
      <c r="S5" t="s">
        <v>54</v>
      </c>
      <c r="T5" t="s">
        <v>34</v>
      </c>
      <c r="U5" s="2">
        <v>9.1416837782340892</v>
      </c>
      <c r="V5">
        <v>10</v>
      </c>
      <c r="W5">
        <v>7</v>
      </c>
      <c r="X5">
        <v>516</v>
      </c>
      <c r="Y5" t="s">
        <v>35</v>
      </c>
      <c r="Z5" t="s">
        <v>36</v>
      </c>
      <c r="AA5">
        <v>67064</v>
      </c>
      <c r="AB5">
        <v>9.1</v>
      </c>
      <c r="AC5" t="s">
        <v>77</v>
      </c>
      <c r="AF5" s="2">
        <f>IF(ISBLANK(F5),"",F5-U5)</f>
        <v>-5.4757015742694648E-3</v>
      </c>
      <c r="AG5" s="2">
        <f>IF(ISBLANK(F5),"",ABS(AF5))</f>
        <v>5.4757015742694648E-3</v>
      </c>
    </row>
    <row r="6" spans="1:33" x14ac:dyDescent="0.35">
      <c r="A6" t="s">
        <v>134</v>
      </c>
      <c r="B6" t="s">
        <v>134</v>
      </c>
      <c r="C6" s="7" t="s">
        <v>32</v>
      </c>
      <c r="D6" t="s">
        <v>54</v>
      </c>
      <c r="E6" t="s">
        <v>51</v>
      </c>
      <c r="F6" s="2">
        <v>7.9370294318959598</v>
      </c>
      <c r="G6">
        <v>30</v>
      </c>
      <c r="H6">
        <v>11</v>
      </c>
      <c r="I6">
        <v>185</v>
      </c>
      <c r="J6" t="s">
        <v>35</v>
      </c>
      <c r="K6" t="s">
        <v>36</v>
      </c>
      <c r="L6">
        <v>67064</v>
      </c>
      <c r="M6">
        <v>7.9</v>
      </c>
      <c r="N6" t="s">
        <v>32</v>
      </c>
      <c r="P6" t="s">
        <v>61</v>
      </c>
      <c r="Q6" t="s">
        <v>61</v>
      </c>
      <c r="R6" s="8" t="s">
        <v>58</v>
      </c>
      <c r="S6" t="s">
        <v>54</v>
      </c>
      <c r="T6" t="s">
        <v>51</v>
      </c>
      <c r="U6" s="2">
        <v>9.1444216290212204</v>
      </c>
      <c r="V6">
        <v>0</v>
      </c>
      <c r="W6">
        <v>7</v>
      </c>
      <c r="X6">
        <v>468</v>
      </c>
      <c r="Y6" t="s">
        <v>35</v>
      </c>
      <c r="Z6" t="s">
        <v>36</v>
      </c>
      <c r="AA6">
        <v>67064</v>
      </c>
      <c r="AB6">
        <v>9.1</v>
      </c>
      <c r="AC6" t="s">
        <v>58</v>
      </c>
      <c r="AF6" s="2">
        <f>IF(ISBLANK(F6),"",F6-U6)</f>
        <v>-1.2073921971252606</v>
      </c>
      <c r="AG6" s="2">
        <f>IF(ISBLANK(F6),"",ABS(AF6))</f>
        <v>1.2073921971252606</v>
      </c>
    </row>
    <row r="7" spans="1:33" x14ac:dyDescent="0.35">
      <c r="A7" t="s">
        <v>139</v>
      </c>
      <c r="B7" t="s">
        <v>139</v>
      </c>
      <c r="C7" s="7" t="s">
        <v>32</v>
      </c>
      <c r="D7" t="s">
        <v>54</v>
      </c>
      <c r="E7" t="s">
        <v>34</v>
      </c>
      <c r="F7" s="2">
        <v>9.8945927446954105</v>
      </c>
      <c r="G7">
        <v>10</v>
      </c>
      <c r="H7">
        <v>13</v>
      </c>
      <c r="I7">
        <v>93</v>
      </c>
      <c r="J7" t="s">
        <v>35</v>
      </c>
      <c r="K7" t="s">
        <v>36</v>
      </c>
      <c r="L7">
        <v>67064</v>
      </c>
      <c r="M7">
        <v>9.9</v>
      </c>
      <c r="N7" t="s">
        <v>32</v>
      </c>
      <c r="P7" t="s">
        <v>125</v>
      </c>
      <c r="Q7" t="s">
        <v>125</v>
      </c>
      <c r="R7" s="8" t="s">
        <v>58</v>
      </c>
      <c r="S7" t="s">
        <v>54</v>
      </c>
      <c r="T7" t="s">
        <v>34</v>
      </c>
      <c r="U7" s="2">
        <v>9.9383983572895307</v>
      </c>
      <c r="V7">
        <v>35</v>
      </c>
      <c r="W7">
        <v>33</v>
      </c>
      <c r="X7">
        <v>2211</v>
      </c>
      <c r="Y7" t="s">
        <v>35</v>
      </c>
      <c r="Z7" t="s">
        <v>36</v>
      </c>
      <c r="AA7">
        <v>67064</v>
      </c>
      <c r="AB7">
        <v>9.9</v>
      </c>
      <c r="AC7" t="s">
        <v>58</v>
      </c>
      <c r="AF7" s="2">
        <f>IF(ISBLANK(F7),"",F7-U7)</f>
        <v>-4.3805612594120191E-2</v>
      </c>
      <c r="AG7" s="2">
        <f>IF(ISBLANK(F7),"",ABS(AF7))</f>
        <v>4.3805612594120191E-2</v>
      </c>
    </row>
    <row r="8" spans="1:33" x14ac:dyDescent="0.35">
      <c r="A8" t="s">
        <v>91</v>
      </c>
      <c r="B8" t="s">
        <v>92</v>
      </c>
      <c r="C8" s="7" t="s">
        <v>32</v>
      </c>
      <c r="D8" t="s">
        <v>54</v>
      </c>
      <c r="E8" t="s">
        <v>34</v>
      </c>
      <c r="F8" s="2">
        <v>10.234086242299799</v>
      </c>
      <c r="G8">
        <v>10</v>
      </c>
      <c r="H8">
        <v>16</v>
      </c>
      <c r="I8">
        <v>253</v>
      </c>
      <c r="J8" t="s">
        <v>35</v>
      </c>
      <c r="K8" t="s">
        <v>36</v>
      </c>
      <c r="L8">
        <v>67064</v>
      </c>
      <c r="M8">
        <v>10.199999999999999</v>
      </c>
      <c r="N8" t="s">
        <v>32</v>
      </c>
      <c r="P8" t="s">
        <v>80</v>
      </c>
      <c r="Q8" t="s">
        <v>80</v>
      </c>
      <c r="R8" s="8" t="s">
        <v>58</v>
      </c>
      <c r="S8" t="s">
        <v>54</v>
      </c>
      <c r="T8" t="s">
        <v>34</v>
      </c>
      <c r="U8" s="2">
        <v>10.4147843942505</v>
      </c>
      <c r="V8">
        <v>0</v>
      </c>
      <c r="W8">
        <v>13</v>
      </c>
      <c r="X8">
        <v>517</v>
      </c>
      <c r="Y8" t="s">
        <v>35</v>
      </c>
      <c r="Z8" t="s">
        <v>36</v>
      </c>
      <c r="AA8">
        <v>67064</v>
      </c>
      <c r="AB8">
        <v>10.4</v>
      </c>
      <c r="AC8" t="s">
        <v>77</v>
      </c>
      <c r="AF8" s="2">
        <f>IF(ISBLANK(F8),"",F8-U8)</f>
        <v>-0.18069815195070049</v>
      </c>
      <c r="AG8" s="2">
        <f>IF(ISBLANK(F8),"",ABS(AF8))</f>
        <v>0.18069815195070049</v>
      </c>
    </row>
    <row r="9" spans="1:33" x14ac:dyDescent="0.35">
      <c r="A9" t="s">
        <v>137</v>
      </c>
      <c r="B9" t="s">
        <v>137</v>
      </c>
      <c r="C9" s="7" t="s">
        <v>32</v>
      </c>
      <c r="D9" t="s">
        <v>33</v>
      </c>
      <c r="E9" t="s">
        <v>34</v>
      </c>
      <c r="F9" s="2">
        <v>5.0568104038329897</v>
      </c>
      <c r="G9">
        <v>10</v>
      </c>
      <c r="H9">
        <v>10</v>
      </c>
      <c r="I9">
        <v>167</v>
      </c>
      <c r="J9" t="s">
        <v>35</v>
      </c>
      <c r="K9" t="s">
        <v>36</v>
      </c>
      <c r="L9">
        <v>67064</v>
      </c>
      <c r="M9">
        <v>5.0999999999999996</v>
      </c>
      <c r="N9" t="s">
        <v>32</v>
      </c>
      <c r="P9" t="s">
        <v>131</v>
      </c>
      <c r="Q9" t="s">
        <v>131</v>
      </c>
      <c r="R9" s="8" t="s">
        <v>58</v>
      </c>
      <c r="S9" t="s">
        <v>33</v>
      </c>
      <c r="T9" t="s">
        <v>34</v>
      </c>
      <c r="U9" s="2">
        <v>5.14989733059548</v>
      </c>
      <c r="V9">
        <v>0</v>
      </c>
      <c r="W9">
        <v>12</v>
      </c>
      <c r="X9">
        <v>569</v>
      </c>
      <c r="Y9" t="s">
        <v>35</v>
      </c>
      <c r="Z9" t="s">
        <v>36</v>
      </c>
      <c r="AA9">
        <v>67064</v>
      </c>
      <c r="AB9">
        <v>5.0999999999999996</v>
      </c>
      <c r="AC9" t="s">
        <v>58</v>
      </c>
      <c r="AF9" s="2">
        <f>IF(ISBLANK(F9),"",F9-U9)</f>
        <v>-9.3086926762490307E-2</v>
      </c>
      <c r="AG9" s="2">
        <f>IF(ISBLANK(F9),"",ABS(AF9))</f>
        <v>9.3086926762490307E-2</v>
      </c>
    </row>
    <row r="10" spans="1:33" x14ac:dyDescent="0.35">
      <c r="A10" t="s">
        <v>113</v>
      </c>
      <c r="B10" t="s">
        <v>113</v>
      </c>
      <c r="C10" s="7" t="s">
        <v>32</v>
      </c>
      <c r="D10" t="s">
        <v>33</v>
      </c>
      <c r="E10" t="s">
        <v>34</v>
      </c>
      <c r="F10" s="2">
        <v>5.7768651608487298</v>
      </c>
      <c r="G10">
        <v>0</v>
      </c>
      <c r="H10">
        <v>21</v>
      </c>
      <c r="I10">
        <v>142</v>
      </c>
      <c r="J10" t="s">
        <v>35</v>
      </c>
      <c r="K10" t="s">
        <v>36</v>
      </c>
      <c r="L10">
        <v>67064</v>
      </c>
      <c r="M10">
        <v>5.8</v>
      </c>
      <c r="N10" t="s">
        <v>58</v>
      </c>
      <c r="P10" t="s">
        <v>124</v>
      </c>
      <c r="Q10" t="s">
        <v>124</v>
      </c>
      <c r="R10" s="8" t="s">
        <v>58</v>
      </c>
      <c r="S10" t="s">
        <v>33</v>
      </c>
      <c r="T10" t="s">
        <v>34</v>
      </c>
      <c r="U10" s="2">
        <v>5.7768651608487298</v>
      </c>
      <c r="V10">
        <v>10</v>
      </c>
      <c r="W10">
        <v>15</v>
      </c>
      <c r="X10">
        <v>1377</v>
      </c>
      <c r="Y10" t="s">
        <v>35</v>
      </c>
      <c r="Z10" t="s">
        <v>36</v>
      </c>
      <c r="AA10">
        <v>67064</v>
      </c>
      <c r="AB10">
        <v>5.8</v>
      </c>
      <c r="AC10" t="s">
        <v>58</v>
      </c>
      <c r="AF10" s="2">
        <f>IF(ISBLANK(F10),"",F10-U10)</f>
        <v>0</v>
      </c>
      <c r="AG10" s="2">
        <f>IF(ISBLANK(F10),"",ABS(AF10))</f>
        <v>0</v>
      </c>
    </row>
    <row r="11" spans="1:33" x14ac:dyDescent="0.35">
      <c r="A11" t="s">
        <v>132</v>
      </c>
      <c r="B11" t="s">
        <v>132</v>
      </c>
      <c r="C11" s="7" t="s">
        <v>32</v>
      </c>
      <c r="D11" t="s">
        <v>33</v>
      </c>
      <c r="E11" t="s">
        <v>34</v>
      </c>
      <c r="F11" s="2">
        <v>5.8480492813141698</v>
      </c>
      <c r="G11">
        <v>10</v>
      </c>
      <c r="H11">
        <v>16</v>
      </c>
      <c r="I11">
        <v>197</v>
      </c>
      <c r="J11" t="s">
        <v>35</v>
      </c>
      <c r="K11" t="s">
        <v>36</v>
      </c>
      <c r="L11">
        <v>67064</v>
      </c>
      <c r="M11">
        <v>5.8</v>
      </c>
      <c r="N11" t="s">
        <v>32</v>
      </c>
      <c r="P11" t="s">
        <v>123</v>
      </c>
      <c r="Q11" t="s">
        <v>123</v>
      </c>
      <c r="R11" s="8" t="s">
        <v>58</v>
      </c>
      <c r="S11" t="s">
        <v>33</v>
      </c>
      <c r="T11" t="s">
        <v>34</v>
      </c>
      <c r="U11" s="2">
        <v>5.9</v>
      </c>
      <c r="V11">
        <v>0</v>
      </c>
      <c r="W11">
        <v>22</v>
      </c>
      <c r="X11">
        <v>572</v>
      </c>
      <c r="Y11" t="s">
        <v>35</v>
      </c>
      <c r="Z11" t="s">
        <v>36</v>
      </c>
      <c r="AA11">
        <v>67064</v>
      </c>
      <c r="AB11">
        <v>5.9</v>
      </c>
      <c r="AC11" t="s">
        <v>58</v>
      </c>
      <c r="AF11" s="2">
        <f>IF(ISBLANK(F11),"",F11-U11)</f>
        <v>-5.1950718685830566E-2</v>
      </c>
      <c r="AG11" s="2">
        <f>IF(ISBLANK(F11),"",ABS(AF11))</f>
        <v>5.1950718685830566E-2</v>
      </c>
    </row>
    <row r="12" spans="1:33" x14ac:dyDescent="0.35">
      <c r="A12" t="s">
        <v>89</v>
      </c>
      <c r="B12" t="s">
        <v>89</v>
      </c>
      <c r="C12" s="7" t="s">
        <v>32</v>
      </c>
      <c r="D12" t="s">
        <v>33</v>
      </c>
      <c r="E12" t="s">
        <v>34</v>
      </c>
      <c r="F12" s="2">
        <v>6.1355236139630396</v>
      </c>
      <c r="G12">
        <v>0</v>
      </c>
      <c r="H12">
        <v>19</v>
      </c>
      <c r="I12">
        <v>157</v>
      </c>
      <c r="J12" t="s">
        <v>35</v>
      </c>
      <c r="K12" t="s">
        <v>36</v>
      </c>
      <c r="L12">
        <v>67064</v>
      </c>
      <c r="M12">
        <v>6.1</v>
      </c>
      <c r="N12" t="s">
        <v>32</v>
      </c>
      <c r="P12" t="s">
        <v>138</v>
      </c>
      <c r="Q12" t="s">
        <v>138</v>
      </c>
      <c r="R12" s="8" t="s">
        <v>58</v>
      </c>
      <c r="S12" t="s">
        <v>33</v>
      </c>
      <c r="T12" t="s">
        <v>34</v>
      </c>
      <c r="U12" s="2">
        <v>6.1108829568788501</v>
      </c>
      <c r="V12">
        <v>0</v>
      </c>
      <c r="W12">
        <v>16</v>
      </c>
      <c r="X12">
        <v>1678</v>
      </c>
      <c r="Y12" t="s">
        <v>35</v>
      </c>
      <c r="Z12" t="s">
        <v>36</v>
      </c>
      <c r="AA12">
        <v>67064</v>
      </c>
      <c r="AB12">
        <v>6.1</v>
      </c>
      <c r="AC12" t="s">
        <v>58</v>
      </c>
      <c r="AF12" s="2">
        <f>IF(ISBLANK(F12),"",F12-U12)</f>
        <v>2.4640657084189499E-2</v>
      </c>
      <c r="AG12" s="2">
        <f>IF(ISBLANK(F12),"",ABS(AF12))</f>
        <v>2.4640657084189499E-2</v>
      </c>
    </row>
    <row r="13" spans="1:33" x14ac:dyDescent="0.35">
      <c r="A13" t="s">
        <v>94</v>
      </c>
      <c r="B13" t="s">
        <v>94</v>
      </c>
      <c r="C13" s="7" t="s">
        <v>32</v>
      </c>
      <c r="D13" t="s">
        <v>33</v>
      </c>
      <c r="E13" t="s">
        <v>34</v>
      </c>
      <c r="F13" s="2">
        <v>6.2149212867898704</v>
      </c>
      <c r="G13">
        <v>0</v>
      </c>
      <c r="H13">
        <v>9</v>
      </c>
      <c r="I13">
        <v>218</v>
      </c>
      <c r="J13" t="s">
        <v>35</v>
      </c>
      <c r="K13" t="s">
        <v>36</v>
      </c>
      <c r="L13">
        <v>67064</v>
      </c>
      <c r="M13">
        <v>6.2</v>
      </c>
      <c r="N13" t="s">
        <v>32</v>
      </c>
      <c r="P13" t="s">
        <v>70</v>
      </c>
      <c r="Q13" t="s">
        <v>70</v>
      </c>
      <c r="R13" s="8" t="s">
        <v>58</v>
      </c>
      <c r="S13" t="s">
        <v>33</v>
      </c>
      <c r="T13" t="s">
        <v>34</v>
      </c>
      <c r="U13" s="2">
        <v>6.2039698836413404</v>
      </c>
      <c r="V13">
        <v>0</v>
      </c>
      <c r="W13">
        <v>15</v>
      </c>
      <c r="X13">
        <v>1220</v>
      </c>
      <c r="Y13" t="s">
        <v>35</v>
      </c>
      <c r="Z13" t="s">
        <v>36</v>
      </c>
      <c r="AA13">
        <v>67064</v>
      </c>
      <c r="AB13">
        <v>6.2</v>
      </c>
      <c r="AC13" t="s">
        <v>58</v>
      </c>
      <c r="AF13" s="2">
        <f>IF(ISBLANK(F13),"",F13-U13)</f>
        <v>1.0951403148530048E-2</v>
      </c>
      <c r="AG13" s="2">
        <f>IF(ISBLANK(F13),"",ABS(AF13))</f>
        <v>1.0951403148530048E-2</v>
      </c>
    </row>
    <row r="14" spans="1:33" x14ac:dyDescent="0.35">
      <c r="A14" t="s">
        <v>98</v>
      </c>
      <c r="B14" t="s">
        <v>98</v>
      </c>
      <c r="C14" s="7" t="s">
        <v>32</v>
      </c>
      <c r="D14" t="s">
        <v>33</v>
      </c>
      <c r="E14" t="s">
        <v>34</v>
      </c>
      <c r="F14" s="2">
        <v>6.3928815879534602</v>
      </c>
      <c r="G14">
        <v>0</v>
      </c>
      <c r="H14">
        <v>16</v>
      </c>
      <c r="I14">
        <v>33</v>
      </c>
      <c r="J14" t="s">
        <v>35</v>
      </c>
      <c r="K14" t="s">
        <v>36</v>
      </c>
      <c r="L14">
        <v>67064</v>
      </c>
      <c r="M14">
        <v>6.4</v>
      </c>
      <c r="N14" t="s">
        <v>32</v>
      </c>
      <c r="P14" t="s">
        <v>121</v>
      </c>
      <c r="Q14" t="s">
        <v>121</v>
      </c>
      <c r="R14" s="8" t="s">
        <v>58</v>
      </c>
      <c r="S14" t="s">
        <v>33</v>
      </c>
      <c r="T14" t="s">
        <v>34</v>
      </c>
      <c r="U14" s="2">
        <v>6.5270362765229297</v>
      </c>
      <c r="V14">
        <v>30</v>
      </c>
      <c r="W14">
        <v>24</v>
      </c>
      <c r="X14">
        <v>1076</v>
      </c>
      <c r="Y14" t="s">
        <v>35</v>
      </c>
      <c r="Z14" t="s">
        <v>36</v>
      </c>
      <c r="AA14">
        <v>67064</v>
      </c>
      <c r="AB14">
        <v>6.5</v>
      </c>
      <c r="AC14" t="s">
        <v>58</v>
      </c>
      <c r="AF14" s="2">
        <f>IF(ISBLANK(F14),"",F14-U14)</f>
        <v>-0.13415468856946955</v>
      </c>
      <c r="AG14" s="2">
        <f>IF(ISBLANK(F14),"",ABS(AF14))</f>
        <v>0.13415468856946955</v>
      </c>
    </row>
    <row r="15" spans="1:33" x14ac:dyDescent="0.35">
      <c r="A15" t="s">
        <v>67</v>
      </c>
      <c r="B15" t="s">
        <v>67</v>
      </c>
      <c r="C15" s="7" t="s">
        <v>32</v>
      </c>
      <c r="D15" t="s">
        <v>33</v>
      </c>
      <c r="E15" t="s">
        <v>34</v>
      </c>
      <c r="F15" s="2">
        <v>6.4147843942505096</v>
      </c>
      <c r="G15">
        <v>20</v>
      </c>
      <c r="H15">
        <v>21</v>
      </c>
      <c r="I15">
        <v>188</v>
      </c>
      <c r="J15" t="s">
        <v>35</v>
      </c>
      <c r="K15" t="s">
        <v>36</v>
      </c>
      <c r="L15">
        <v>67064</v>
      </c>
      <c r="M15">
        <v>6.4</v>
      </c>
      <c r="N15" t="s">
        <v>32</v>
      </c>
      <c r="P15" t="s">
        <v>122</v>
      </c>
      <c r="Q15" t="s">
        <v>122</v>
      </c>
      <c r="R15" s="8" t="s">
        <v>58</v>
      </c>
      <c r="S15" t="s">
        <v>33</v>
      </c>
      <c r="T15" t="s">
        <v>34</v>
      </c>
      <c r="U15" s="2">
        <v>6.5270362765229297</v>
      </c>
      <c r="V15">
        <v>40</v>
      </c>
      <c r="W15">
        <v>25</v>
      </c>
      <c r="X15">
        <v>1091</v>
      </c>
      <c r="Y15" t="s">
        <v>35</v>
      </c>
      <c r="Z15" t="s">
        <v>36</v>
      </c>
      <c r="AA15">
        <v>67064</v>
      </c>
      <c r="AB15">
        <v>6.5</v>
      </c>
      <c r="AC15" t="s">
        <v>58</v>
      </c>
      <c r="AF15" s="2">
        <f>IF(ISBLANK(F15),"",F15-U15)</f>
        <v>-0.11225188227242011</v>
      </c>
      <c r="AG15" s="2">
        <f>IF(ISBLANK(F15),"",ABS(AF15))</f>
        <v>0.11225188227242011</v>
      </c>
    </row>
    <row r="16" spans="1:33" x14ac:dyDescent="0.35">
      <c r="A16" t="s">
        <v>31</v>
      </c>
      <c r="B16" t="s">
        <v>31</v>
      </c>
      <c r="C16" s="7" t="s">
        <v>32</v>
      </c>
      <c r="D16" t="s">
        <v>33</v>
      </c>
      <c r="E16" t="s">
        <v>34</v>
      </c>
      <c r="F16" s="2">
        <v>6.4229979466119103</v>
      </c>
      <c r="G16">
        <v>0</v>
      </c>
      <c r="H16">
        <v>14</v>
      </c>
      <c r="I16">
        <v>53</v>
      </c>
      <c r="J16" t="s">
        <v>35</v>
      </c>
      <c r="K16" t="s">
        <v>36</v>
      </c>
      <c r="L16">
        <v>67064</v>
      </c>
      <c r="M16">
        <v>6.4</v>
      </c>
      <c r="N16" t="s">
        <v>37</v>
      </c>
      <c r="P16" t="s">
        <v>100</v>
      </c>
      <c r="Q16" t="s">
        <v>100</v>
      </c>
      <c r="R16" s="8" t="s">
        <v>58</v>
      </c>
      <c r="S16" t="s">
        <v>33</v>
      </c>
      <c r="T16" t="s">
        <v>34</v>
      </c>
      <c r="U16" s="2">
        <v>6.6721423682409302</v>
      </c>
      <c r="V16">
        <v>25</v>
      </c>
      <c r="W16">
        <v>30</v>
      </c>
      <c r="X16">
        <v>1533</v>
      </c>
      <c r="Y16" t="s">
        <v>35</v>
      </c>
      <c r="Z16" t="s">
        <v>36</v>
      </c>
      <c r="AA16">
        <v>67064</v>
      </c>
      <c r="AB16">
        <v>6.7</v>
      </c>
      <c r="AC16" t="s">
        <v>58</v>
      </c>
      <c r="AF16" s="2">
        <f>IF(ISBLANK(F16),"",F16-U16)</f>
        <v>-0.24914442162901995</v>
      </c>
      <c r="AG16" s="2">
        <f>IF(ISBLANK(F16),"",ABS(AF16))</f>
        <v>0.24914442162901995</v>
      </c>
    </row>
    <row r="17" spans="1:33" x14ac:dyDescent="0.35">
      <c r="A17" t="s">
        <v>84</v>
      </c>
      <c r="B17" t="s">
        <v>84</v>
      </c>
      <c r="C17" s="7" t="s">
        <v>32</v>
      </c>
      <c r="D17" t="s">
        <v>33</v>
      </c>
      <c r="E17" t="s">
        <v>34</v>
      </c>
      <c r="F17" s="2">
        <v>6.6447638603696104</v>
      </c>
      <c r="G17">
        <v>10</v>
      </c>
      <c r="H17">
        <v>21</v>
      </c>
      <c r="I17">
        <v>144</v>
      </c>
      <c r="J17" t="s">
        <v>35</v>
      </c>
      <c r="K17" t="s">
        <v>36</v>
      </c>
      <c r="L17">
        <v>67064</v>
      </c>
      <c r="M17">
        <v>6.6</v>
      </c>
      <c r="N17" t="s">
        <v>32</v>
      </c>
      <c r="P17" t="s">
        <v>110</v>
      </c>
      <c r="Q17" t="s">
        <v>110</v>
      </c>
      <c r="R17" s="8" t="s">
        <v>58</v>
      </c>
      <c r="S17" t="s">
        <v>33</v>
      </c>
      <c r="T17" t="s">
        <v>34</v>
      </c>
      <c r="U17" s="2">
        <v>6.8117727583846701</v>
      </c>
      <c r="V17">
        <v>30</v>
      </c>
      <c r="W17">
        <v>26</v>
      </c>
      <c r="X17">
        <v>1672</v>
      </c>
      <c r="Y17" t="s">
        <v>35</v>
      </c>
      <c r="Z17" t="s">
        <v>36</v>
      </c>
      <c r="AA17">
        <v>67064</v>
      </c>
      <c r="AB17">
        <v>6.8</v>
      </c>
      <c r="AC17" t="s">
        <v>58</v>
      </c>
      <c r="AF17" s="2">
        <f>IF(ISBLANK(F17),"",F17-U17)</f>
        <v>-0.16700889801505969</v>
      </c>
      <c r="AG17" s="2">
        <f>IF(ISBLANK(F17),"",ABS(AF17))</f>
        <v>0.16700889801505969</v>
      </c>
    </row>
    <row r="18" spans="1:33" x14ac:dyDescent="0.35">
      <c r="A18" t="s">
        <v>103</v>
      </c>
      <c r="B18" t="s">
        <v>103</v>
      </c>
      <c r="C18" s="7" t="s">
        <v>32</v>
      </c>
      <c r="D18" t="s">
        <v>33</v>
      </c>
      <c r="E18" t="s">
        <v>34</v>
      </c>
      <c r="F18" s="2">
        <v>6.8583162217659099</v>
      </c>
      <c r="G18">
        <v>0</v>
      </c>
      <c r="H18">
        <v>12</v>
      </c>
      <c r="I18">
        <v>360</v>
      </c>
      <c r="J18" t="s">
        <v>35</v>
      </c>
      <c r="K18" t="s">
        <v>36</v>
      </c>
      <c r="L18">
        <v>67064</v>
      </c>
      <c r="M18">
        <v>6.9</v>
      </c>
      <c r="N18" t="s">
        <v>32</v>
      </c>
      <c r="P18" t="s">
        <v>75</v>
      </c>
      <c r="Q18" t="s">
        <v>75</v>
      </c>
      <c r="R18" s="8" t="s">
        <v>58</v>
      </c>
      <c r="S18" t="s">
        <v>33</v>
      </c>
      <c r="T18" t="s">
        <v>34</v>
      </c>
      <c r="U18" s="2">
        <v>6.9</v>
      </c>
      <c r="V18">
        <v>15</v>
      </c>
      <c r="W18">
        <v>14</v>
      </c>
      <c r="X18">
        <v>372</v>
      </c>
      <c r="Y18" t="s">
        <v>76</v>
      </c>
      <c r="Z18" t="s">
        <v>36</v>
      </c>
      <c r="AA18">
        <v>67064</v>
      </c>
      <c r="AB18">
        <v>6.9</v>
      </c>
      <c r="AC18" t="s">
        <v>77</v>
      </c>
      <c r="AF18" s="2">
        <f>IF(ISBLANK(F18),"",F18-U18)</f>
        <v>-4.1683778234090418E-2</v>
      </c>
      <c r="AG18" s="2">
        <f>IF(ISBLANK(F18),"",ABS(AF18))</f>
        <v>4.1683778234090418E-2</v>
      </c>
    </row>
    <row r="19" spans="1:33" x14ac:dyDescent="0.35">
      <c r="A19" t="s">
        <v>112</v>
      </c>
      <c r="B19" t="s">
        <v>112</v>
      </c>
      <c r="C19" s="7" t="s">
        <v>32</v>
      </c>
      <c r="D19" t="s">
        <v>33</v>
      </c>
      <c r="E19" t="s">
        <v>34</v>
      </c>
      <c r="F19" s="2">
        <v>7.6057494866529796</v>
      </c>
      <c r="G19">
        <v>0</v>
      </c>
      <c r="H19">
        <v>12</v>
      </c>
      <c r="I19">
        <v>107</v>
      </c>
      <c r="J19" t="s">
        <v>35</v>
      </c>
      <c r="K19" t="s">
        <v>36</v>
      </c>
      <c r="L19">
        <v>67064</v>
      </c>
      <c r="M19">
        <v>7.6</v>
      </c>
      <c r="N19" t="s">
        <v>32</v>
      </c>
      <c r="P19" t="s">
        <v>66</v>
      </c>
      <c r="Q19" t="s">
        <v>66</v>
      </c>
      <c r="R19" s="8" t="s">
        <v>58</v>
      </c>
      <c r="S19" t="s">
        <v>33</v>
      </c>
      <c r="T19" t="s">
        <v>34</v>
      </c>
      <c r="U19" s="2">
        <v>7.1786447638603699</v>
      </c>
      <c r="V19">
        <v>25</v>
      </c>
      <c r="W19">
        <v>30</v>
      </c>
      <c r="X19">
        <v>1497</v>
      </c>
      <c r="Y19" t="s">
        <v>35</v>
      </c>
      <c r="Z19" t="s">
        <v>36</v>
      </c>
      <c r="AA19">
        <v>67064</v>
      </c>
      <c r="AB19">
        <v>7.2</v>
      </c>
      <c r="AC19" t="s">
        <v>58</v>
      </c>
      <c r="AF19" s="2">
        <f>IF(ISBLANK(F19),"",F19-U19)</f>
        <v>0.42710472279260969</v>
      </c>
      <c r="AG19" s="2">
        <f>IF(ISBLANK(F19),"",ABS(AF19))</f>
        <v>0.42710472279260969</v>
      </c>
    </row>
    <row r="20" spans="1:33" x14ac:dyDescent="0.35">
      <c r="A20" t="s">
        <v>129</v>
      </c>
      <c r="B20" t="s">
        <v>129</v>
      </c>
      <c r="C20" s="7" t="s">
        <v>32</v>
      </c>
      <c r="D20" t="s">
        <v>33</v>
      </c>
      <c r="E20" t="s">
        <v>51</v>
      </c>
      <c r="F20" s="2">
        <v>7.7837097878165604</v>
      </c>
      <c r="G20">
        <v>0</v>
      </c>
      <c r="H20">
        <v>19</v>
      </c>
      <c r="I20">
        <v>42</v>
      </c>
      <c r="J20" t="s">
        <v>35</v>
      </c>
      <c r="K20" t="s">
        <v>36</v>
      </c>
      <c r="L20">
        <v>67064</v>
      </c>
      <c r="M20">
        <v>7.8</v>
      </c>
      <c r="N20" t="s">
        <v>32</v>
      </c>
      <c r="P20" t="s">
        <v>87</v>
      </c>
      <c r="Q20" t="s">
        <v>87</v>
      </c>
      <c r="R20" s="8" t="s">
        <v>58</v>
      </c>
      <c r="S20" t="s">
        <v>33</v>
      </c>
      <c r="T20" t="s">
        <v>51</v>
      </c>
      <c r="U20" s="2">
        <v>7.4414784394250502</v>
      </c>
      <c r="V20">
        <v>0</v>
      </c>
      <c r="W20">
        <v>19</v>
      </c>
      <c r="X20">
        <v>899</v>
      </c>
      <c r="Y20" t="s">
        <v>35</v>
      </c>
      <c r="Z20" t="s">
        <v>36</v>
      </c>
      <c r="AA20">
        <v>67064</v>
      </c>
      <c r="AB20">
        <v>7.4</v>
      </c>
      <c r="AC20" t="s">
        <v>58</v>
      </c>
      <c r="AF20" s="2">
        <f>IF(ISBLANK(F20),"",F20-U20)</f>
        <v>0.34223134839151026</v>
      </c>
      <c r="AG20" s="2">
        <f>IF(ISBLANK(F20),"",ABS(AF20))</f>
        <v>0.34223134839151026</v>
      </c>
    </row>
    <row r="21" spans="1:33" x14ac:dyDescent="0.35">
      <c r="A21" t="s">
        <v>136</v>
      </c>
      <c r="B21" t="s">
        <v>136</v>
      </c>
      <c r="C21" s="7" t="s">
        <v>32</v>
      </c>
      <c r="D21" t="s">
        <v>33</v>
      </c>
      <c r="E21" t="s">
        <v>34</v>
      </c>
      <c r="F21" s="2">
        <v>7.7481177275838498</v>
      </c>
      <c r="G21">
        <v>0</v>
      </c>
      <c r="H21">
        <v>14</v>
      </c>
      <c r="I21">
        <v>224</v>
      </c>
      <c r="J21" t="s">
        <v>35</v>
      </c>
      <c r="K21" t="s">
        <v>36</v>
      </c>
      <c r="L21">
        <v>67064</v>
      </c>
      <c r="M21">
        <v>7.7</v>
      </c>
      <c r="N21" t="s">
        <v>32</v>
      </c>
      <c r="P21" t="s">
        <v>107</v>
      </c>
      <c r="Q21" t="s">
        <v>107</v>
      </c>
      <c r="R21" s="8" t="s">
        <v>58</v>
      </c>
      <c r="S21" t="s">
        <v>33</v>
      </c>
      <c r="T21" t="s">
        <v>34</v>
      </c>
      <c r="U21" s="2">
        <v>7.7097878165639999</v>
      </c>
      <c r="V21">
        <v>30</v>
      </c>
      <c r="W21">
        <v>22</v>
      </c>
      <c r="X21">
        <v>1060</v>
      </c>
      <c r="Y21" t="s">
        <v>35</v>
      </c>
      <c r="Z21" t="s">
        <v>36</v>
      </c>
      <c r="AA21">
        <v>67064</v>
      </c>
      <c r="AB21">
        <v>7.7</v>
      </c>
      <c r="AC21" t="s">
        <v>58</v>
      </c>
      <c r="AF21" s="2">
        <f>IF(ISBLANK(F21),"",F21-U21)</f>
        <v>3.8329911019849838E-2</v>
      </c>
      <c r="AG21" s="2">
        <f>IF(ISBLANK(F21),"",ABS(AF21))</f>
        <v>3.8329911019849838E-2</v>
      </c>
    </row>
    <row r="22" spans="1:33" x14ac:dyDescent="0.35">
      <c r="A22" t="s">
        <v>99</v>
      </c>
      <c r="B22" t="s">
        <v>99</v>
      </c>
      <c r="C22" s="7" t="s">
        <v>32</v>
      </c>
      <c r="D22" t="s">
        <v>33</v>
      </c>
      <c r="E22" t="s">
        <v>51</v>
      </c>
      <c r="F22" s="2">
        <v>8.2080766598220407</v>
      </c>
      <c r="G22">
        <v>10</v>
      </c>
      <c r="H22">
        <v>17</v>
      </c>
      <c r="I22">
        <v>309</v>
      </c>
      <c r="J22" t="s">
        <v>35</v>
      </c>
      <c r="K22" t="s">
        <v>36</v>
      </c>
      <c r="L22">
        <v>67064</v>
      </c>
      <c r="M22">
        <v>8.1999999999999993</v>
      </c>
      <c r="N22" t="s">
        <v>32</v>
      </c>
      <c r="P22" t="s">
        <v>73</v>
      </c>
      <c r="Q22" t="s">
        <v>73</v>
      </c>
      <c r="R22" s="8" t="s">
        <v>58</v>
      </c>
      <c r="S22" t="s">
        <v>33</v>
      </c>
      <c r="T22" t="s">
        <v>51</v>
      </c>
      <c r="U22" s="2">
        <v>7.7426420260095803</v>
      </c>
      <c r="V22">
        <v>35</v>
      </c>
      <c r="W22">
        <v>34</v>
      </c>
      <c r="X22">
        <v>399</v>
      </c>
      <c r="Y22" t="s">
        <v>35</v>
      </c>
      <c r="Z22" t="s">
        <v>36</v>
      </c>
      <c r="AA22">
        <v>67064</v>
      </c>
      <c r="AB22">
        <v>7.7</v>
      </c>
      <c r="AC22" t="s">
        <v>58</v>
      </c>
      <c r="AF22" s="2">
        <f>IF(ISBLANK(F22),"",F22-U22)</f>
        <v>0.46543463381246042</v>
      </c>
      <c r="AG22" s="2">
        <f>IF(ISBLANK(F22),"",ABS(AF22))</f>
        <v>0.46543463381246042</v>
      </c>
    </row>
    <row r="23" spans="1:33" x14ac:dyDescent="0.35">
      <c r="A23" t="s">
        <v>88</v>
      </c>
      <c r="B23" t="s">
        <v>88</v>
      </c>
      <c r="C23" s="7" t="s">
        <v>32</v>
      </c>
      <c r="D23" t="s">
        <v>33</v>
      </c>
      <c r="E23" t="s">
        <v>34</v>
      </c>
      <c r="F23" s="2">
        <v>8.0821355236139603</v>
      </c>
      <c r="G23">
        <v>0</v>
      </c>
      <c r="H23">
        <v>10</v>
      </c>
      <c r="I23">
        <v>76</v>
      </c>
      <c r="J23" t="s">
        <v>35</v>
      </c>
      <c r="K23" t="s">
        <v>36</v>
      </c>
      <c r="L23">
        <v>67064</v>
      </c>
      <c r="M23">
        <v>8.1</v>
      </c>
      <c r="N23" t="s">
        <v>32</v>
      </c>
      <c r="P23" t="s">
        <v>153</v>
      </c>
      <c r="Q23" t="s">
        <v>153</v>
      </c>
      <c r="R23" s="8" t="s">
        <v>58</v>
      </c>
      <c r="S23" t="s">
        <v>33</v>
      </c>
      <c r="T23" t="s">
        <v>34</v>
      </c>
      <c r="U23" s="2">
        <v>8.1642710472279294</v>
      </c>
      <c r="V23">
        <v>0</v>
      </c>
      <c r="W23">
        <v>24</v>
      </c>
      <c r="X23">
        <v>2286</v>
      </c>
      <c r="Y23" t="s">
        <v>35</v>
      </c>
      <c r="Z23" t="s">
        <v>36</v>
      </c>
      <c r="AA23">
        <v>67064</v>
      </c>
      <c r="AB23">
        <v>8.1999999999999993</v>
      </c>
      <c r="AC23" t="s">
        <v>58</v>
      </c>
      <c r="AF23" s="2">
        <f>IF(ISBLANK(F23),"",F23-U23)</f>
        <v>-8.2135523613969141E-2</v>
      </c>
      <c r="AG23" s="2">
        <f>IF(ISBLANK(F23),"",ABS(AF23))</f>
        <v>8.2135523613969141E-2</v>
      </c>
    </row>
    <row r="24" spans="1:33" x14ac:dyDescent="0.35">
      <c r="A24" t="s">
        <v>144</v>
      </c>
      <c r="B24" t="s">
        <v>144</v>
      </c>
      <c r="C24" s="7" t="s">
        <v>32</v>
      </c>
      <c r="D24" t="s">
        <v>33</v>
      </c>
      <c r="E24" t="s">
        <v>34</v>
      </c>
      <c r="F24" s="2">
        <v>8.1380262249827506</v>
      </c>
      <c r="G24">
        <v>10</v>
      </c>
      <c r="H24">
        <v>21</v>
      </c>
      <c r="I24">
        <v>179</v>
      </c>
      <c r="J24" t="s">
        <v>35</v>
      </c>
      <c r="K24" t="s">
        <v>36</v>
      </c>
      <c r="L24">
        <v>67064</v>
      </c>
      <c r="M24">
        <v>8.1</v>
      </c>
      <c r="N24" t="s">
        <v>32</v>
      </c>
      <c r="P24" t="s">
        <v>148</v>
      </c>
      <c r="Q24" t="s">
        <v>148</v>
      </c>
      <c r="R24" s="8" t="s">
        <v>58</v>
      </c>
      <c r="S24" t="s">
        <v>33</v>
      </c>
      <c r="T24" t="s">
        <v>34</v>
      </c>
      <c r="U24" s="2">
        <v>8.1670088980150606</v>
      </c>
      <c r="V24">
        <v>25</v>
      </c>
      <c r="W24">
        <v>25</v>
      </c>
      <c r="X24">
        <v>2983</v>
      </c>
      <c r="Y24" t="s">
        <v>35</v>
      </c>
      <c r="Z24" t="s">
        <v>36</v>
      </c>
      <c r="AA24">
        <v>67064</v>
      </c>
      <c r="AB24">
        <v>8.1999999999999993</v>
      </c>
      <c r="AC24" t="s">
        <v>58</v>
      </c>
      <c r="AF24" s="2">
        <f>IF(ISBLANK(F24),"",F24-U24)</f>
        <v>-2.8982673032309947E-2</v>
      </c>
      <c r="AG24" s="2">
        <f>IF(ISBLANK(F24),"",ABS(AF24))</f>
        <v>2.8982673032309947E-2</v>
      </c>
    </row>
    <row r="25" spans="1:33" x14ac:dyDescent="0.35">
      <c r="A25" t="s">
        <v>119</v>
      </c>
      <c r="B25" t="s">
        <v>119</v>
      </c>
      <c r="C25" s="7" t="s">
        <v>32</v>
      </c>
      <c r="D25" t="s">
        <v>33</v>
      </c>
      <c r="E25" t="s">
        <v>34</v>
      </c>
      <c r="F25" s="2">
        <v>8.2655715263518097</v>
      </c>
      <c r="G25">
        <v>10</v>
      </c>
      <c r="H25">
        <v>17</v>
      </c>
      <c r="I25">
        <v>121</v>
      </c>
      <c r="J25" t="s">
        <v>35</v>
      </c>
      <c r="K25" t="s">
        <v>36</v>
      </c>
      <c r="L25">
        <v>67064</v>
      </c>
      <c r="M25">
        <v>8.3000000000000007</v>
      </c>
      <c r="N25" t="s">
        <v>32</v>
      </c>
      <c r="P25" t="s">
        <v>95</v>
      </c>
      <c r="Q25" t="s">
        <v>96</v>
      </c>
      <c r="R25" s="8" t="s">
        <v>58</v>
      </c>
      <c r="S25" t="s">
        <v>33</v>
      </c>
      <c r="T25" t="s">
        <v>34</v>
      </c>
      <c r="U25" s="2">
        <v>8.1724845995893194</v>
      </c>
      <c r="V25">
        <v>0</v>
      </c>
      <c r="W25">
        <v>14</v>
      </c>
      <c r="X25">
        <v>1546</v>
      </c>
      <c r="Y25" t="s">
        <v>35</v>
      </c>
      <c r="Z25" t="s">
        <v>36</v>
      </c>
      <c r="AA25">
        <v>67064</v>
      </c>
      <c r="AB25">
        <v>8.1999999999999993</v>
      </c>
      <c r="AC25" t="s">
        <v>58</v>
      </c>
      <c r="AF25" s="2">
        <f>IF(ISBLANK(F25),"",F25-U25)</f>
        <v>9.3086926762490307E-2</v>
      </c>
      <c r="AG25" s="2">
        <f>IF(ISBLANK(F25),"",ABS(AF25))</f>
        <v>9.3086926762490307E-2</v>
      </c>
    </row>
    <row r="26" spans="1:33" x14ac:dyDescent="0.35">
      <c r="A26" t="s">
        <v>46</v>
      </c>
      <c r="B26" t="s">
        <v>46</v>
      </c>
      <c r="C26" s="7" t="s">
        <v>32</v>
      </c>
      <c r="D26" t="s">
        <v>33</v>
      </c>
      <c r="E26" t="s">
        <v>34</v>
      </c>
      <c r="F26" s="2">
        <v>8.3887748117727607</v>
      </c>
      <c r="G26">
        <v>10</v>
      </c>
      <c r="H26">
        <v>19</v>
      </c>
      <c r="I26">
        <v>112</v>
      </c>
      <c r="J26" t="s">
        <v>35</v>
      </c>
      <c r="K26" t="s">
        <v>36</v>
      </c>
      <c r="L26">
        <v>67064</v>
      </c>
      <c r="M26">
        <v>8.4</v>
      </c>
      <c r="N26" t="s">
        <v>37</v>
      </c>
      <c r="P26" t="s">
        <v>152</v>
      </c>
      <c r="Q26" t="s">
        <v>152</v>
      </c>
      <c r="R26" s="8" t="s">
        <v>58</v>
      </c>
      <c r="S26" t="s">
        <v>33</v>
      </c>
      <c r="T26" t="s">
        <v>34</v>
      </c>
      <c r="U26" s="2">
        <v>8.3449691991786406</v>
      </c>
      <c r="V26">
        <v>20</v>
      </c>
      <c r="W26">
        <v>30</v>
      </c>
      <c r="X26">
        <v>940</v>
      </c>
      <c r="Y26" t="s">
        <v>35</v>
      </c>
      <c r="Z26" t="s">
        <v>36</v>
      </c>
      <c r="AA26">
        <v>67064</v>
      </c>
      <c r="AB26">
        <v>8.3000000000000007</v>
      </c>
      <c r="AC26" t="s">
        <v>58</v>
      </c>
      <c r="AF26" s="2">
        <f>IF(ISBLANK(F26),"",F26-U26)</f>
        <v>4.3805612594120191E-2</v>
      </c>
      <c r="AG26" s="2">
        <f>IF(ISBLANK(F26),"",ABS(AF26))</f>
        <v>4.3805612594120191E-2</v>
      </c>
    </row>
    <row r="27" spans="1:33" x14ac:dyDescent="0.35">
      <c r="A27" t="s">
        <v>65</v>
      </c>
      <c r="B27" t="s">
        <v>65</v>
      </c>
      <c r="C27" s="7" t="s">
        <v>32</v>
      </c>
      <c r="D27" t="s">
        <v>33</v>
      </c>
      <c r="E27" t="s">
        <v>34</v>
      </c>
      <c r="F27" s="2">
        <v>8.3915126625598901</v>
      </c>
      <c r="G27">
        <v>20</v>
      </c>
      <c r="H27">
        <v>22</v>
      </c>
      <c r="I27">
        <v>131</v>
      </c>
      <c r="J27" t="s">
        <v>35</v>
      </c>
      <c r="K27" t="s">
        <v>36</v>
      </c>
      <c r="L27">
        <v>67064</v>
      </c>
      <c r="M27">
        <v>8.4</v>
      </c>
      <c r="N27" t="s">
        <v>32</v>
      </c>
      <c r="P27" t="s">
        <v>127</v>
      </c>
      <c r="Q27" t="s">
        <v>127</v>
      </c>
      <c r="R27" s="8" t="s">
        <v>58</v>
      </c>
      <c r="S27" t="s">
        <v>33</v>
      </c>
      <c r="T27" t="s">
        <v>34</v>
      </c>
      <c r="U27" s="2">
        <v>8.5174537987679706</v>
      </c>
      <c r="V27">
        <v>5</v>
      </c>
      <c r="W27">
        <v>18</v>
      </c>
      <c r="X27">
        <v>2064</v>
      </c>
      <c r="Y27" t="s">
        <v>35</v>
      </c>
      <c r="Z27" t="s">
        <v>36</v>
      </c>
      <c r="AA27">
        <v>67064</v>
      </c>
      <c r="AB27">
        <v>8.5</v>
      </c>
      <c r="AC27" t="s">
        <v>58</v>
      </c>
      <c r="AF27" s="2">
        <f>IF(ISBLANK(F27),"",F27-U27)</f>
        <v>-0.12594113620808045</v>
      </c>
      <c r="AG27" s="2">
        <f>IF(ISBLANK(F27),"",ABS(AF27))</f>
        <v>0.12594113620808045</v>
      </c>
    </row>
    <row r="28" spans="1:33" x14ac:dyDescent="0.35">
      <c r="A28" t="s">
        <v>128</v>
      </c>
      <c r="B28" t="s">
        <v>128</v>
      </c>
      <c r="C28" s="7" t="s">
        <v>32</v>
      </c>
      <c r="D28" t="s">
        <v>33</v>
      </c>
      <c r="E28" t="s">
        <v>34</v>
      </c>
      <c r="F28" s="2">
        <v>8.3997262149212908</v>
      </c>
      <c r="G28">
        <v>10</v>
      </c>
      <c r="H28">
        <v>12</v>
      </c>
      <c r="I28">
        <v>115</v>
      </c>
      <c r="J28" t="s">
        <v>35</v>
      </c>
      <c r="K28" t="s">
        <v>36</v>
      </c>
      <c r="L28">
        <v>67064</v>
      </c>
      <c r="M28">
        <v>8.4</v>
      </c>
      <c r="N28" t="s">
        <v>32</v>
      </c>
      <c r="P28" t="s">
        <v>102</v>
      </c>
      <c r="Q28" t="s">
        <v>102</v>
      </c>
      <c r="R28" s="8" t="s">
        <v>58</v>
      </c>
      <c r="S28" t="s">
        <v>33</v>
      </c>
      <c r="T28" t="s">
        <v>34</v>
      </c>
      <c r="U28" s="2">
        <v>8.5475701574264207</v>
      </c>
      <c r="V28">
        <v>30</v>
      </c>
      <c r="W28">
        <v>24</v>
      </c>
      <c r="X28">
        <v>1656</v>
      </c>
      <c r="Y28" t="s">
        <v>35</v>
      </c>
      <c r="Z28" t="s">
        <v>36</v>
      </c>
      <c r="AA28">
        <v>67064</v>
      </c>
      <c r="AB28">
        <v>8.5</v>
      </c>
      <c r="AC28" t="s">
        <v>58</v>
      </c>
      <c r="AF28" s="2">
        <f>IF(ISBLANK(F28),"",F28-U28)</f>
        <v>-0.14784394250512989</v>
      </c>
      <c r="AG28" s="2">
        <f>IF(ISBLANK(F28),"",ABS(AF28))</f>
        <v>0.14784394250512989</v>
      </c>
    </row>
    <row r="29" spans="1:33" x14ac:dyDescent="0.35">
      <c r="A29" t="s">
        <v>56</v>
      </c>
      <c r="B29" t="s">
        <v>56</v>
      </c>
      <c r="C29" s="7" t="s">
        <v>32</v>
      </c>
      <c r="D29" t="s">
        <v>33</v>
      </c>
      <c r="E29" t="s">
        <v>34</v>
      </c>
      <c r="F29" s="2">
        <v>8.6406570841889092</v>
      </c>
      <c r="G29">
        <v>5</v>
      </c>
      <c r="H29">
        <v>24</v>
      </c>
      <c r="I29">
        <v>95</v>
      </c>
      <c r="J29" t="s">
        <v>35</v>
      </c>
      <c r="K29" t="s">
        <v>36</v>
      </c>
      <c r="L29">
        <v>67064</v>
      </c>
      <c r="M29">
        <v>8.6</v>
      </c>
      <c r="N29" t="s">
        <v>32</v>
      </c>
      <c r="P29" t="s">
        <v>64</v>
      </c>
      <c r="Q29" t="s">
        <v>64</v>
      </c>
      <c r="R29" s="8" t="s">
        <v>58</v>
      </c>
      <c r="S29" t="s">
        <v>33</v>
      </c>
      <c r="T29" t="s">
        <v>34</v>
      </c>
      <c r="U29" s="2">
        <v>8.6598220396988399</v>
      </c>
      <c r="V29">
        <v>20</v>
      </c>
      <c r="W29">
        <v>19</v>
      </c>
      <c r="X29">
        <v>401</v>
      </c>
      <c r="Y29" t="s">
        <v>35</v>
      </c>
      <c r="Z29" t="s">
        <v>36</v>
      </c>
      <c r="AA29">
        <v>67064</v>
      </c>
      <c r="AB29">
        <v>8.6999999999999993</v>
      </c>
      <c r="AC29" t="s">
        <v>58</v>
      </c>
      <c r="AF29" s="2">
        <f>IF(ISBLANK(F29),"",F29-U29)</f>
        <v>-1.9164955509930692E-2</v>
      </c>
      <c r="AG29" s="2">
        <f>IF(ISBLANK(F29),"",ABS(AF29))</f>
        <v>1.9164955509930692E-2</v>
      </c>
    </row>
    <row r="30" spans="1:33" x14ac:dyDescent="0.35">
      <c r="A30" t="s">
        <v>86</v>
      </c>
      <c r="B30" t="s">
        <v>86</v>
      </c>
      <c r="C30" s="7" t="s">
        <v>32</v>
      </c>
      <c r="D30" t="s">
        <v>33</v>
      </c>
      <c r="E30" t="s">
        <v>34</v>
      </c>
      <c r="F30" s="2">
        <v>8.7556468172484596</v>
      </c>
      <c r="G30">
        <v>0</v>
      </c>
      <c r="H30">
        <v>13</v>
      </c>
      <c r="I30">
        <v>82</v>
      </c>
      <c r="J30" t="s">
        <v>35</v>
      </c>
      <c r="K30" t="s">
        <v>36</v>
      </c>
      <c r="L30">
        <v>67064</v>
      </c>
      <c r="M30">
        <v>8.8000000000000007</v>
      </c>
      <c r="N30" t="s">
        <v>32</v>
      </c>
      <c r="P30" t="s">
        <v>142</v>
      </c>
      <c r="Q30" t="s">
        <v>142</v>
      </c>
      <c r="R30" s="8" t="s">
        <v>58</v>
      </c>
      <c r="S30" t="s">
        <v>33</v>
      </c>
      <c r="T30" t="s">
        <v>34</v>
      </c>
      <c r="U30" s="2">
        <v>8.8815879534565401</v>
      </c>
      <c r="V30">
        <v>10</v>
      </c>
      <c r="W30">
        <v>22</v>
      </c>
      <c r="X30">
        <v>971</v>
      </c>
      <c r="Y30" t="s">
        <v>35</v>
      </c>
      <c r="Z30" t="s">
        <v>36</v>
      </c>
      <c r="AA30">
        <v>67064</v>
      </c>
      <c r="AB30">
        <v>8.9</v>
      </c>
      <c r="AC30" t="s">
        <v>58</v>
      </c>
      <c r="AF30" s="2">
        <f>IF(ISBLANK(F30),"",F30-U30)</f>
        <v>-0.12594113620808045</v>
      </c>
      <c r="AG30" s="2">
        <f>IF(ISBLANK(F30),"",ABS(AF30))</f>
        <v>0.12594113620808045</v>
      </c>
    </row>
    <row r="31" spans="1:33" x14ac:dyDescent="0.35">
      <c r="A31" t="s">
        <v>130</v>
      </c>
      <c r="B31" t="s">
        <v>130</v>
      </c>
      <c r="C31" s="7" t="s">
        <v>32</v>
      </c>
      <c r="D31" t="s">
        <v>33</v>
      </c>
      <c r="E31" t="s">
        <v>34</v>
      </c>
      <c r="F31" s="2">
        <v>8.9363449691991796</v>
      </c>
      <c r="G31">
        <v>0</v>
      </c>
      <c r="H31">
        <v>23</v>
      </c>
      <c r="I31">
        <v>297</v>
      </c>
      <c r="J31" t="s">
        <v>35</v>
      </c>
      <c r="K31" t="s">
        <v>36</v>
      </c>
      <c r="L31">
        <v>67064</v>
      </c>
      <c r="M31">
        <v>8.9</v>
      </c>
      <c r="N31" t="s">
        <v>32</v>
      </c>
      <c r="P31" t="s">
        <v>149</v>
      </c>
      <c r="Q31" t="s">
        <v>149</v>
      </c>
      <c r="R31" s="8" t="s">
        <v>58</v>
      </c>
      <c r="S31" t="s">
        <v>33</v>
      </c>
      <c r="T31" t="s">
        <v>34</v>
      </c>
      <c r="U31" s="2">
        <v>9.0239561943874094</v>
      </c>
      <c r="V31">
        <v>30</v>
      </c>
      <c r="W31">
        <v>30</v>
      </c>
      <c r="X31">
        <v>2019</v>
      </c>
      <c r="Y31" t="s">
        <v>35</v>
      </c>
      <c r="Z31" t="s">
        <v>36</v>
      </c>
      <c r="AA31">
        <v>67064</v>
      </c>
      <c r="AB31">
        <v>9</v>
      </c>
      <c r="AC31" t="s">
        <v>58</v>
      </c>
      <c r="AF31" s="2">
        <f>IF(ISBLANK(F31),"",F31-U31)</f>
        <v>-8.7611225188229724E-2</v>
      </c>
      <c r="AG31" s="2">
        <f>IF(ISBLANK(F31),"",ABS(AF31))</f>
        <v>8.7611225188229724E-2</v>
      </c>
    </row>
    <row r="32" spans="1:33" x14ac:dyDescent="0.35">
      <c r="A32" t="s">
        <v>118</v>
      </c>
      <c r="B32" t="s">
        <v>118</v>
      </c>
      <c r="C32" s="7" t="s">
        <v>32</v>
      </c>
      <c r="D32" t="s">
        <v>33</v>
      </c>
      <c r="E32" t="s">
        <v>34</v>
      </c>
      <c r="F32" s="2">
        <v>9.1060917180013696</v>
      </c>
      <c r="G32">
        <v>0</v>
      </c>
      <c r="H32">
        <v>14</v>
      </c>
      <c r="I32">
        <v>271</v>
      </c>
      <c r="J32" t="s">
        <v>35</v>
      </c>
      <c r="K32" t="s">
        <v>36</v>
      </c>
      <c r="L32">
        <v>67064</v>
      </c>
      <c r="M32">
        <v>9.1</v>
      </c>
      <c r="N32" t="s">
        <v>32</v>
      </c>
      <c r="P32" t="s">
        <v>74</v>
      </c>
      <c r="Q32" t="s">
        <v>74</v>
      </c>
      <c r="R32" s="8" t="s">
        <v>58</v>
      </c>
      <c r="S32" t="s">
        <v>33</v>
      </c>
      <c r="T32" t="s">
        <v>34</v>
      </c>
      <c r="U32" s="2">
        <v>9.0732375085557795</v>
      </c>
      <c r="V32">
        <v>0</v>
      </c>
      <c r="W32">
        <v>19</v>
      </c>
      <c r="X32">
        <v>1507</v>
      </c>
      <c r="Y32" t="s">
        <v>35</v>
      </c>
      <c r="Z32" t="s">
        <v>36</v>
      </c>
      <c r="AA32">
        <v>67064</v>
      </c>
      <c r="AB32">
        <v>9.1</v>
      </c>
      <c r="AC32" t="s">
        <v>58</v>
      </c>
      <c r="AF32" s="2">
        <f>IF(ISBLANK(F32),"",F32-U32)</f>
        <v>3.2854209445590143E-2</v>
      </c>
      <c r="AG32" s="2">
        <f>IF(ISBLANK(F32),"",ABS(AF32))</f>
        <v>3.2854209445590143E-2</v>
      </c>
    </row>
    <row r="33" spans="1:33" x14ac:dyDescent="0.35">
      <c r="A33" t="s">
        <v>93</v>
      </c>
      <c r="B33" t="s">
        <v>93</v>
      </c>
      <c r="C33" s="7" t="s">
        <v>32</v>
      </c>
      <c r="D33" t="s">
        <v>33</v>
      </c>
      <c r="E33" t="s">
        <v>34</v>
      </c>
      <c r="F33" s="2">
        <v>9.1937029431895994</v>
      </c>
      <c r="G33">
        <v>10</v>
      </c>
      <c r="H33">
        <v>17</v>
      </c>
      <c r="I33">
        <v>245</v>
      </c>
      <c r="J33" t="s">
        <v>35</v>
      </c>
      <c r="K33" t="s">
        <v>36</v>
      </c>
      <c r="L33">
        <v>67064</v>
      </c>
      <c r="M33">
        <v>9.1999999999999993</v>
      </c>
      <c r="N33" t="s">
        <v>32</v>
      </c>
      <c r="P33" t="s">
        <v>135</v>
      </c>
      <c r="Q33" t="s">
        <v>135</v>
      </c>
      <c r="R33" s="8" t="s">
        <v>58</v>
      </c>
      <c r="S33" t="s">
        <v>33</v>
      </c>
      <c r="T33" t="s">
        <v>34</v>
      </c>
      <c r="U33" s="2">
        <v>9.3141683778234103</v>
      </c>
      <c r="V33">
        <v>10</v>
      </c>
      <c r="W33">
        <v>23</v>
      </c>
      <c r="X33">
        <v>1973</v>
      </c>
      <c r="Y33" t="s">
        <v>35</v>
      </c>
      <c r="Z33" t="s">
        <v>36</v>
      </c>
      <c r="AA33">
        <v>67064</v>
      </c>
      <c r="AB33">
        <v>9.3000000000000007</v>
      </c>
      <c r="AC33" t="s">
        <v>58</v>
      </c>
      <c r="AF33" s="2">
        <f>IF(ISBLANK(F33),"",F33-U33)</f>
        <v>-0.12046543463381099</v>
      </c>
      <c r="AG33" s="2">
        <f>IF(ISBLANK(F33),"",ABS(AF33))</f>
        <v>0.12046543463381099</v>
      </c>
    </row>
    <row r="34" spans="1:33" x14ac:dyDescent="0.35">
      <c r="A34" t="s">
        <v>145</v>
      </c>
      <c r="B34" t="s">
        <v>145</v>
      </c>
      <c r="C34" s="7" t="s">
        <v>32</v>
      </c>
      <c r="D34" t="s">
        <v>33</v>
      </c>
      <c r="E34" t="s">
        <v>51</v>
      </c>
      <c r="F34" s="2">
        <v>8.4024640657084202</v>
      </c>
      <c r="G34">
        <v>10</v>
      </c>
      <c r="H34">
        <v>22</v>
      </c>
      <c r="I34">
        <v>199</v>
      </c>
      <c r="J34" t="s">
        <v>35</v>
      </c>
      <c r="K34" t="s">
        <v>36</v>
      </c>
      <c r="L34">
        <v>67064</v>
      </c>
      <c r="M34">
        <v>8.4</v>
      </c>
      <c r="N34" t="s">
        <v>32</v>
      </c>
      <c r="P34" t="s">
        <v>151</v>
      </c>
      <c r="Q34" t="s">
        <v>151</v>
      </c>
      <c r="R34" s="8" t="s">
        <v>58</v>
      </c>
      <c r="S34" t="s">
        <v>33</v>
      </c>
      <c r="T34" t="s">
        <v>51</v>
      </c>
      <c r="U34" s="2">
        <v>9.4565366187542796</v>
      </c>
      <c r="V34">
        <v>0</v>
      </c>
      <c r="W34">
        <v>16</v>
      </c>
      <c r="X34">
        <v>1751</v>
      </c>
      <c r="Y34" t="s">
        <v>35</v>
      </c>
      <c r="Z34" t="s">
        <v>36</v>
      </c>
      <c r="AA34">
        <v>67064</v>
      </c>
      <c r="AB34">
        <v>9.5</v>
      </c>
      <c r="AC34" t="s">
        <v>58</v>
      </c>
      <c r="AF34" s="2">
        <f>IF(ISBLANK(F34),"",F34-U34)</f>
        <v>-1.0540725530458595</v>
      </c>
      <c r="AG34" s="2">
        <f>IF(ISBLANK(F34),"",ABS(AF34))</f>
        <v>1.0540725530458595</v>
      </c>
    </row>
    <row r="35" spans="1:33" x14ac:dyDescent="0.35">
      <c r="A35" t="s">
        <v>115</v>
      </c>
      <c r="B35" t="s">
        <v>115</v>
      </c>
      <c r="C35" s="7" t="s">
        <v>32</v>
      </c>
      <c r="D35" t="s">
        <v>33</v>
      </c>
      <c r="E35" t="s">
        <v>34</v>
      </c>
      <c r="F35" s="2">
        <v>9.9958932238192997</v>
      </c>
      <c r="G35">
        <v>20</v>
      </c>
      <c r="H35">
        <v>25</v>
      </c>
      <c r="I35">
        <v>129</v>
      </c>
      <c r="J35" t="s">
        <v>35</v>
      </c>
      <c r="K35" t="s">
        <v>36</v>
      </c>
      <c r="L35">
        <v>67064</v>
      </c>
      <c r="M35">
        <v>10</v>
      </c>
      <c r="N35" t="s">
        <v>32</v>
      </c>
      <c r="P35" t="s">
        <v>57</v>
      </c>
      <c r="Q35" t="s">
        <v>57</v>
      </c>
      <c r="R35" s="8" t="s">
        <v>58</v>
      </c>
      <c r="S35" t="s">
        <v>33</v>
      </c>
      <c r="T35" t="s">
        <v>34</v>
      </c>
      <c r="U35" s="2">
        <v>9.6180698151950708</v>
      </c>
      <c r="V35">
        <v>5</v>
      </c>
      <c r="W35">
        <v>15</v>
      </c>
      <c r="X35">
        <v>2104</v>
      </c>
      <c r="Y35" t="s">
        <v>35</v>
      </c>
      <c r="Z35" t="s">
        <v>36</v>
      </c>
      <c r="AA35">
        <v>67064</v>
      </c>
      <c r="AB35">
        <v>9.6</v>
      </c>
      <c r="AC35" t="s">
        <v>58</v>
      </c>
      <c r="AF35" s="2">
        <f>IF(ISBLANK(F35),"",F35-U35)</f>
        <v>0.37782340862422892</v>
      </c>
      <c r="AG35" s="2">
        <f>IF(ISBLANK(F35),"",ABS(AF35))</f>
        <v>0.37782340862422892</v>
      </c>
    </row>
    <row r="36" spans="1:33" x14ac:dyDescent="0.35">
      <c r="A36" t="s">
        <v>47</v>
      </c>
      <c r="B36" t="s">
        <v>47</v>
      </c>
      <c r="C36" s="7" t="s">
        <v>32</v>
      </c>
      <c r="D36" t="s">
        <v>33</v>
      </c>
      <c r="E36" t="s">
        <v>34</v>
      </c>
      <c r="F36" s="2">
        <v>10.3162217659138</v>
      </c>
      <c r="G36">
        <v>0</v>
      </c>
      <c r="H36">
        <v>10</v>
      </c>
      <c r="I36">
        <v>95</v>
      </c>
      <c r="J36" t="s">
        <v>35</v>
      </c>
      <c r="K36" t="s">
        <v>36</v>
      </c>
      <c r="L36">
        <v>67064</v>
      </c>
      <c r="M36">
        <v>10.3</v>
      </c>
      <c r="N36" t="s">
        <v>37</v>
      </c>
      <c r="P36" t="s">
        <v>101</v>
      </c>
      <c r="Q36" t="s">
        <v>101</v>
      </c>
      <c r="R36" s="8" t="s">
        <v>58</v>
      </c>
      <c r="S36" t="s">
        <v>33</v>
      </c>
      <c r="T36" t="s">
        <v>34</v>
      </c>
      <c r="U36" s="2">
        <v>9.8000000000000007</v>
      </c>
      <c r="V36">
        <v>0</v>
      </c>
      <c r="W36">
        <v>22</v>
      </c>
      <c r="X36">
        <v>2426</v>
      </c>
      <c r="Y36" t="s">
        <v>35</v>
      </c>
      <c r="Z36" t="s">
        <v>36</v>
      </c>
      <c r="AA36">
        <v>67064</v>
      </c>
      <c r="AB36">
        <v>9.8000000000000007</v>
      </c>
      <c r="AC36" t="s">
        <v>58</v>
      </c>
      <c r="AF36" s="2">
        <f>IF(ISBLANK(F36),"",F36-U36)</f>
        <v>0.51622176591379976</v>
      </c>
      <c r="AG36" s="2">
        <f>IF(ISBLANK(F36),"",ABS(AF36))</f>
        <v>0.51622176591379976</v>
      </c>
    </row>
    <row r="37" spans="1:33" x14ac:dyDescent="0.35">
      <c r="A37" t="s">
        <v>143</v>
      </c>
      <c r="B37" t="s">
        <v>143</v>
      </c>
      <c r="C37" s="7" t="s">
        <v>32</v>
      </c>
      <c r="D37" t="s">
        <v>33</v>
      </c>
      <c r="E37" t="s">
        <v>34</v>
      </c>
      <c r="F37" s="2">
        <v>10.321697467488001</v>
      </c>
      <c r="G37">
        <v>0</v>
      </c>
      <c r="H37">
        <v>12</v>
      </c>
      <c r="I37">
        <v>112</v>
      </c>
      <c r="J37" t="s">
        <v>35</v>
      </c>
      <c r="K37" t="s">
        <v>36</v>
      </c>
      <c r="L37">
        <v>67064</v>
      </c>
      <c r="M37">
        <v>10.3</v>
      </c>
      <c r="N37" t="s">
        <v>32</v>
      </c>
      <c r="P37" t="s">
        <v>150</v>
      </c>
      <c r="Q37" t="s">
        <v>150</v>
      </c>
      <c r="R37" s="8" t="s">
        <v>58</v>
      </c>
      <c r="S37" t="s">
        <v>33</v>
      </c>
      <c r="T37" t="s">
        <v>34</v>
      </c>
      <c r="U37" s="2">
        <v>9.9904175222450409</v>
      </c>
      <c r="V37">
        <v>0</v>
      </c>
      <c r="W37">
        <v>26</v>
      </c>
      <c r="X37">
        <v>2554</v>
      </c>
      <c r="Y37" t="s">
        <v>35</v>
      </c>
      <c r="Z37" t="s">
        <v>36</v>
      </c>
      <c r="AA37">
        <v>67064</v>
      </c>
      <c r="AB37">
        <v>10</v>
      </c>
      <c r="AC37" t="s">
        <v>58</v>
      </c>
      <c r="AF37" s="2">
        <f>IF(ISBLANK(F37),"",F37-U37)</f>
        <v>0.33127994524295978</v>
      </c>
      <c r="AG37" s="2">
        <f>IF(ISBLANK(F37),"",ABS(AF37))</f>
        <v>0.33127994524295978</v>
      </c>
    </row>
    <row r="38" spans="1:33" x14ac:dyDescent="0.35">
      <c r="A38" t="s">
        <v>111</v>
      </c>
      <c r="B38" t="s">
        <v>111</v>
      </c>
      <c r="C38" s="7" t="s">
        <v>32</v>
      </c>
      <c r="D38" t="s">
        <v>33</v>
      </c>
      <c r="E38" t="s">
        <v>51</v>
      </c>
      <c r="F38" s="2">
        <v>8.7720739219712502</v>
      </c>
      <c r="G38">
        <v>0</v>
      </c>
      <c r="H38">
        <v>17</v>
      </c>
      <c r="I38">
        <v>75</v>
      </c>
      <c r="J38" t="s">
        <v>35</v>
      </c>
      <c r="K38" t="s">
        <v>36</v>
      </c>
      <c r="L38">
        <v>67064</v>
      </c>
      <c r="M38">
        <v>8.8000000000000007</v>
      </c>
      <c r="N38" t="s">
        <v>32</v>
      </c>
      <c r="P38" t="s">
        <v>147</v>
      </c>
      <c r="Q38" t="s">
        <v>147</v>
      </c>
      <c r="R38" s="8" t="s">
        <v>58</v>
      </c>
      <c r="S38" t="s">
        <v>33</v>
      </c>
      <c r="T38" t="s">
        <v>51</v>
      </c>
      <c r="U38" s="2">
        <v>10.652977412731</v>
      </c>
      <c r="V38">
        <v>10</v>
      </c>
      <c r="W38">
        <v>19</v>
      </c>
      <c r="X38">
        <v>931</v>
      </c>
      <c r="Y38" t="s">
        <v>35</v>
      </c>
      <c r="Z38" t="s">
        <v>36</v>
      </c>
      <c r="AA38">
        <v>67064</v>
      </c>
      <c r="AB38">
        <v>10.7</v>
      </c>
      <c r="AC38" t="s">
        <v>58</v>
      </c>
      <c r="AF38" s="2">
        <f>IF(ISBLANK(F38),"",F38-U38)</f>
        <v>-1.8809034907597493</v>
      </c>
      <c r="AG38" s="2">
        <f>IF(ISBLANK(F38),"",ABS(AF38))</f>
        <v>1.8809034907597493</v>
      </c>
    </row>
    <row r="39" spans="1:33" x14ac:dyDescent="0.35">
      <c r="A39" t="s">
        <v>60</v>
      </c>
      <c r="B39" t="s">
        <v>60</v>
      </c>
      <c r="C39" s="7" t="s">
        <v>32</v>
      </c>
      <c r="D39" t="s">
        <v>33</v>
      </c>
      <c r="E39" t="s">
        <v>51</v>
      </c>
      <c r="F39" s="2">
        <v>9.7221081451060893</v>
      </c>
      <c r="G39">
        <v>20</v>
      </c>
      <c r="H39">
        <v>18</v>
      </c>
      <c r="I39">
        <v>112</v>
      </c>
      <c r="J39" t="s">
        <v>35</v>
      </c>
      <c r="K39" t="s">
        <v>36</v>
      </c>
      <c r="L39">
        <v>67064</v>
      </c>
      <c r="M39">
        <v>9.6999999999999993</v>
      </c>
      <c r="N39" t="s">
        <v>32</v>
      </c>
      <c r="P39" t="s">
        <v>81</v>
      </c>
      <c r="Q39" t="s">
        <v>81</v>
      </c>
      <c r="R39" s="8" t="s">
        <v>58</v>
      </c>
      <c r="S39" t="s">
        <v>33</v>
      </c>
      <c r="T39" t="s">
        <v>51</v>
      </c>
      <c r="U39" s="2">
        <v>10.7323750855578</v>
      </c>
      <c r="V39">
        <v>10</v>
      </c>
      <c r="W39">
        <v>13</v>
      </c>
      <c r="X39">
        <v>907</v>
      </c>
      <c r="Y39" t="s">
        <v>35</v>
      </c>
      <c r="Z39" t="s">
        <v>36</v>
      </c>
      <c r="AA39">
        <v>67064</v>
      </c>
      <c r="AB39">
        <v>10.7</v>
      </c>
      <c r="AC39" t="s">
        <v>77</v>
      </c>
      <c r="AF39" s="2">
        <f>IF(ISBLANK(F39),"",F39-U39)</f>
        <v>-1.0102669404517108</v>
      </c>
      <c r="AG39" s="2">
        <f>IF(ISBLANK(F39),"",ABS(AF39))</f>
        <v>1.0102669404517108</v>
      </c>
    </row>
    <row r="40" spans="1:33" x14ac:dyDescent="0.35">
      <c r="A40" t="s">
        <v>45</v>
      </c>
      <c r="B40" t="s">
        <v>45</v>
      </c>
      <c r="C40" s="7" t="s">
        <v>32</v>
      </c>
      <c r="D40" t="s">
        <v>33</v>
      </c>
      <c r="E40" t="s">
        <v>34</v>
      </c>
      <c r="F40" s="2">
        <v>10.6502395619439</v>
      </c>
      <c r="G40">
        <v>10</v>
      </c>
      <c r="H40">
        <v>13</v>
      </c>
      <c r="I40">
        <v>107</v>
      </c>
      <c r="J40" t="s">
        <v>35</v>
      </c>
      <c r="K40" t="s">
        <v>36</v>
      </c>
      <c r="L40">
        <v>67064</v>
      </c>
      <c r="M40">
        <v>10.7</v>
      </c>
      <c r="N40" t="s">
        <v>37</v>
      </c>
      <c r="P40" t="s">
        <v>109</v>
      </c>
      <c r="Q40" t="s">
        <v>109</v>
      </c>
      <c r="R40" s="8" t="s">
        <v>58</v>
      </c>
      <c r="S40" t="s">
        <v>33</v>
      </c>
      <c r="T40" t="s">
        <v>34</v>
      </c>
      <c r="U40" s="2">
        <v>10.8829568788501</v>
      </c>
      <c r="V40">
        <v>0</v>
      </c>
      <c r="W40">
        <v>11</v>
      </c>
      <c r="X40">
        <v>1921</v>
      </c>
      <c r="Y40" t="s">
        <v>35</v>
      </c>
      <c r="Z40" t="s">
        <v>36</v>
      </c>
      <c r="AA40">
        <v>67064</v>
      </c>
      <c r="AB40">
        <v>10.9</v>
      </c>
      <c r="AC40" t="s">
        <v>58</v>
      </c>
      <c r="AF40" s="2">
        <f>IF(ISBLANK(F40),"",F40-U40)</f>
        <v>-0.23271731690620001</v>
      </c>
      <c r="AG40" s="2">
        <f>IF(ISBLANK(F40),"",ABS(AF40))</f>
        <v>0.23271731690620001</v>
      </c>
    </row>
    <row r="41" spans="1:33" x14ac:dyDescent="0.35">
      <c r="A41" t="s">
        <v>104</v>
      </c>
      <c r="B41" t="s">
        <v>104</v>
      </c>
      <c r="C41" s="7" t="s">
        <v>32</v>
      </c>
      <c r="D41" t="s">
        <v>33</v>
      </c>
      <c r="E41" t="s">
        <v>34</v>
      </c>
      <c r="F41" s="2">
        <v>10.9541409993155</v>
      </c>
      <c r="G41">
        <v>10</v>
      </c>
      <c r="H41">
        <v>7</v>
      </c>
      <c r="I41">
        <v>33</v>
      </c>
      <c r="J41" t="s">
        <v>35</v>
      </c>
      <c r="K41" t="s">
        <v>36</v>
      </c>
      <c r="L41">
        <v>67064</v>
      </c>
      <c r="M41">
        <v>11</v>
      </c>
      <c r="N41" t="s">
        <v>32</v>
      </c>
      <c r="P41" t="s">
        <v>116</v>
      </c>
      <c r="Q41" t="s">
        <v>116</v>
      </c>
      <c r="R41" s="8" t="s">
        <v>58</v>
      </c>
      <c r="S41" t="s">
        <v>33</v>
      </c>
      <c r="T41" t="s">
        <v>34</v>
      </c>
      <c r="U41" s="2">
        <v>10.984257357974</v>
      </c>
      <c r="V41">
        <v>5</v>
      </c>
      <c r="W41">
        <v>29</v>
      </c>
      <c r="X41">
        <v>1767</v>
      </c>
      <c r="Y41" t="s">
        <v>35</v>
      </c>
      <c r="Z41" t="s">
        <v>36</v>
      </c>
      <c r="AA41">
        <v>67064</v>
      </c>
      <c r="AB41">
        <v>11</v>
      </c>
      <c r="AC41" t="s">
        <v>58</v>
      </c>
      <c r="AF41" s="2">
        <f>IF(ISBLANK(F41),"",F41-U41)</f>
        <v>-3.011635865849982E-2</v>
      </c>
      <c r="AG41" s="2">
        <f>IF(ISBLANK(F41),"",ABS(AF41))</f>
        <v>3.011635865849982E-2</v>
      </c>
    </row>
    <row r="43" spans="1:33" x14ac:dyDescent="0.35">
      <c r="H43" s="3" t="s">
        <v>165</v>
      </c>
      <c r="I43" s="13">
        <f>MIN(I2:I41)</f>
        <v>33</v>
      </c>
      <c r="W43" s="12" t="s">
        <v>165</v>
      </c>
      <c r="X43" s="14">
        <f>MIN(X2:X41)</f>
        <v>372</v>
      </c>
      <c r="AE43" s="3" t="s">
        <v>165</v>
      </c>
      <c r="AF43" s="4">
        <f>MIN(AF2:AF41)</f>
        <v>-1.8809034907597493</v>
      </c>
      <c r="AG43" s="4">
        <f>MIN(AG2:AG41)</f>
        <v>0</v>
      </c>
    </row>
    <row r="44" spans="1:33" x14ac:dyDescent="0.35">
      <c r="H44" s="3" t="s">
        <v>156</v>
      </c>
      <c r="I44" s="11">
        <f>AVERAGE(I2:I41)</f>
        <v>156.19999999999999</v>
      </c>
      <c r="W44" s="3" t="s">
        <v>156</v>
      </c>
      <c r="X44" s="11">
        <f>AVERAGE(X2:X41)</f>
        <v>1327.2750000000001</v>
      </c>
      <c r="AE44" s="3" t="s">
        <v>156</v>
      </c>
      <c r="AF44" s="15">
        <f>AVERAGE(AF2:AF41)</f>
        <v>-9.6867619529434568E-2</v>
      </c>
      <c r="AG44" s="15">
        <f>AVERAGE(AG2:AG41)</f>
        <v>0.26477316367727999</v>
      </c>
    </row>
    <row r="45" spans="1:33" x14ac:dyDescent="0.35">
      <c r="H45" s="3" t="s">
        <v>164</v>
      </c>
      <c r="I45" s="11">
        <f>MEDIAN(I2:I41)</f>
        <v>136.5</v>
      </c>
      <c r="W45" s="3" t="s">
        <v>164</v>
      </c>
      <c r="X45" s="11">
        <f>MEDIAN(X2:X41)</f>
        <v>1298.5</v>
      </c>
      <c r="AE45" s="3" t="s">
        <v>164</v>
      </c>
      <c r="AF45" s="15">
        <f>MEDIAN(AF2:AF41)</f>
        <v>-3.5900068446295119E-2</v>
      </c>
      <c r="AG45" s="15">
        <f>MEDIAN(AG2:AG41)</f>
        <v>0.11635865845311555</v>
      </c>
    </row>
    <row r="46" spans="1:33" x14ac:dyDescent="0.35">
      <c r="H46" s="12" t="s">
        <v>157</v>
      </c>
      <c r="I46" s="14">
        <f>MAX(I2:I41)</f>
        <v>360</v>
      </c>
      <c r="W46" s="3" t="s">
        <v>157</v>
      </c>
      <c r="X46" s="13">
        <f>MAX(X2:X41)</f>
        <v>2983</v>
      </c>
      <c r="AE46" s="3" t="s">
        <v>158</v>
      </c>
      <c r="AF46" s="15"/>
      <c r="AG46" s="15">
        <f>PERCENTILE(AG2:AG41,90%)</f>
        <v>0.57412731006160511</v>
      </c>
    </row>
    <row r="47" spans="1:33" x14ac:dyDescent="0.35">
      <c r="AE47" s="3" t="s">
        <v>157</v>
      </c>
      <c r="AF47" s="15">
        <f>MAX(AF2:AF41)</f>
        <v>0.52566735112937035</v>
      </c>
      <c r="AG47" s="15">
        <f>MAX(AG2:AG41)</f>
        <v>1.8809034907597493</v>
      </c>
    </row>
    <row r="48" spans="1:33" x14ac:dyDescent="0.35">
      <c r="AE48" s="5" t="s">
        <v>159</v>
      </c>
      <c r="AF48" s="6">
        <f>AVERAGE(AF38:AF39,AF34,AF22,AF20,AF6)</f>
        <v>-0.72416153319643495</v>
      </c>
      <c r="AG48" s="6">
        <f>ABS(AF48)</f>
        <v>0.72416153319643495</v>
      </c>
    </row>
  </sheetData>
  <conditionalFormatting sqref="E2">
    <cfRule type="cellIs" dxfId="36" priority="78" operator="equal">
      <formula>"nonR"</formula>
    </cfRule>
  </conditionalFormatting>
  <conditionalFormatting sqref="M2">
    <cfRule type="colorScale" priority="77">
      <colorScale>
        <cfvo type="num" val="5"/>
        <cfvo type="num" val="11"/>
        <color theme="0"/>
        <color rgb="FF63BE7B"/>
      </colorScale>
    </cfRule>
  </conditionalFormatting>
  <conditionalFormatting sqref="AD1:AD8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ellIs" dxfId="35" priority="75" operator="equal">
      <formula>"nonR"</formula>
    </cfRule>
  </conditionalFormatting>
  <conditionalFormatting sqref="M8">
    <cfRule type="colorScale" priority="74">
      <colorScale>
        <cfvo type="num" val="5"/>
        <cfvo type="num" val="11"/>
        <color theme="0"/>
        <color rgb="FF63BE7B"/>
      </colorScale>
    </cfRule>
  </conditionalFormatting>
  <conditionalFormatting sqref="E7">
    <cfRule type="cellIs" dxfId="34" priority="73" operator="equal">
      <formula>"nonR"</formula>
    </cfRule>
  </conditionalFormatting>
  <conditionalFormatting sqref="M7">
    <cfRule type="colorScale" priority="72">
      <colorScale>
        <cfvo type="num" val="5"/>
        <cfvo type="num" val="11"/>
        <color theme="0"/>
        <color rgb="FF63BE7B"/>
      </colorScale>
    </cfRule>
  </conditionalFormatting>
  <conditionalFormatting sqref="E4">
    <cfRule type="cellIs" dxfId="33" priority="71" operator="equal">
      <formula>"nonR"</formula>
    </cfRule>
  </conditionalFormatting>
  <conditionalFormatting sqref="M4">
    <cfRule type="colorScale" priority="70">
      <colorScale>
        <cfvo type="num" val="5"/>
        <cfvo type="num" val="11"/>
        <color theme="0"/>
        <color rgb="FF63BE7B"/>
      </colorScale>
    </cfRule>
  </conditionalFormatting>
  <conditionalFormatting sqref="T2:T8">
    <cfRule type="cellIs" dxfId="32" priority="69" operator="equal">
      <formula>"nonR"</formula>
    </cfRule>
  </conditionalFormatting>
  <conditionalFormatting sqref="AB2:AB8">
    <cfRule type="colorScale" priority="68">
      <colorScale>
        <cfvo type="num" val="5"/>
        <cfvo type="num" val="11"/>
        <color theme="0"/>
        <color rgb="FF63BE7B"/>
      </colorScale>
    </cfRule>
  </conditionalFormatting>
  <conditionalFormatting sqref="E6">
    <cfRule type="cellIs" dxfId="31" priority="67" operator="equal">
      <formula>"nonR"</formula>
    </cfRule>
  </conditionalFormatting>
  <conditionalFormatting sqref="M6">
    <cfRule type="colorScale" priority="66">
      <colorScale>
        <cfvo type="num" val="5"/>
        <cfvo type="num" val="11"/>
        <color theme="0"/>
        <color rgb="FF63BE7B"/>
      </colorScale>
    </cfRule>
  </conditionalFormatting>
  <conditionalFormatting sqref="E5">
    <cfRule type="cellIs" dxfId="30" priority="65" operator="equal">
      <formula>"nonR"</formula>
    </cfRule>
  </conditionalFormatting>
  <conditionalFormatting sqref="M5">
    <cfRule type="colorScale" priority="64">
      <colorScale>
        <cfvo type="num" val="5"/>
        <cfvo type="num" val="11"/>
        <color theme="0"/>
        <color rgb="FF63BE7B"/>
      </colorScale>
    </cfRule>
  </conditionalFormatting>
  <conditionalFormatting sqref="E3">
    <cfRule type="cellIs" dxfId="29" priority="63" operator="equal">
      <formula>"nonR"</formula>
    </cfRule>
  </conditionalFormatting>
  <conditionalFormatting sqref="M3">
    <cfRule type="colorScale" priority="62">
      <colorScale>
        <cfvo type="num" val="5"/>
        <cfvo type="num" val="11"/>
        <color theme="0"/>
        <color rgb="FF63BE7B"/>
      </colorScale>
    </cfRule>
  </conditionalFormatting>
  <conditionalFormatting sqref="AG2:AG8">
    <cfRule type="colorScale" priority="61">
      <colorScale>
        <cfvo type="num" val="0"/>
        <cfvo type="num" val="1"/>
        <color rgb="FFFCFCFF"/>
        <color rgb="FFF8696B"/>
      </colorScale>
    </cfRule>
  </conditionalFormatting>
  <conditionalFormatting sqref="T9:T41">
    <cfRule type="cellIs" dxfId="28" priority="60" operator="equal">
      <formula>"nonR"</formula>
    </cfRule>
  </conditionalFormatting>
  <conditionalFormatting sqref="AB9:AB41">
    <cfRule type="colorScale" priority="59">
      <colorScale>
        <cfvo type="num" val="5"/>
        <cfvo type="num" val="11"/>
        <color theme="0"/>
        <color rgb="FF63BE7B"/>
      </colorScale>
    </cfRule>
  </conditionalFormatting>
  <conditionalFormatting sqref="AD9:AD41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8">
    <cfRule type="cellIs" dxfId="27" priority="57" operator="equal">
      <formula>"nonR"</formula>
    </cfRule>
  </conditionalFormatting>
  <conditionalFormatting sqref="M38">
    <cfRule type="colorScale" priority="56">
      <colorScale>
        <cfvo type="num" val="5"/>
        <cfvo type="num" val="11"/>
        <color theme="0"/>
        <color rgb="FF63BE7B"/>
      </colorScale>
    </cfRule>
  </conditionalFormatting>
  <conditionalFormatting sqref="E39">
    <cfRule type="cellIs" dxfId="26" priority="55" operator="equal">
      <formula>"nonR"</formula>
    </cfRule>
  </conditionalFormatting>
  <conditionalFormatting sqref="M39">
    <cfRule type="colorScale" priority="54">
      <colorScale>
        <cfvo type="num" val="5"/>
        <cfvo type="num" val="11"/>
        <color theme="0"/>
        <color rgb="FF63BE7B"/>
      </colorScale>
    </cfRule>
  </conditionalFormatting>
  <conditionalFormatting sqref="E34">
    <cfRule type="cellIs" dxfId="25" priority="53" operator="equal">
      <formula>"nonR"</formula>
    </cfRule>
  </conditionalFormatting>
  <conditionalFormatting sqref="M34">
    <cfRule type="colorScale" priority="52">
      <colorScale>
        <cfvo type="num" val="5"/>
        <cfvo type="num" val="11"/>
        <color theme="0"/>
        <color rgb="FF63BE7B"/>
      </colorScale>
    </cfRule>
  </conditionalFormatting>
  <conditionalFormatting sqref="E22">
    <cfRule type="cellIs" dxfId="24" priority="51" operator="equal">
      <formula>"nonR"</formula>
    </cfRule>
  </conditionalFormatting>
  <conditionalFormatting sqref="M22">
    <cfRule type="colorScale" priority="50">
      <colorScale>
        <cfvo type="num" val="5"/>
        <cfvo type="num" val="11"/>
        <color theme="0"/>
        <color rgb="FF63BE7B"/>
      </colorScale>
    </cfRule>
  </conditionalFormatting>
  <conditionalFormatting sqref="E20">
    <cfRule type="cellIs" dxfId="23" priority="49" operator="equal">
      <formula>"nonR"</formula>
    </cfRule>
  </conditionalFormatting>
  <conditionalFormatting sqref="M20">
    <cfRule type="colorScale" priority="48">
      <colorScale>
        <cfvo type="num" val="5"/>
        <cfvo type="num" val="11"/>
        <color theme="0"/>
        <color rgb="FF63BE7B"/>
      </colorScale>
    </cfRule>
  </conditionalFormatting>
  <conditionalFormatting sqref="E9">
    <cfRule type="cellIs" dxfId="22" priority="47" operator="equal">
      <formula>"nonR"</formula>
    </cfRule>
  </conditionalFormatting>
  <conditionalFormatting sqref="M9">
    <cfRule type="colorScale" priority="46">
      <colorScale>
        <cfvo type="num" val="5"/>
        <cfvo type="num" val="11"/>
        <color theme="0"/>
        <color rgb="FF63BE7B"/>
      </colorScale>
    </cfRule>
  </conditionalFormatting>
  <conditionalFormatting sqref="E41">
    <cfRule type="cellIs" dxfId="21" priority="45" operator="equal">
      <formula>"nonR"</formula>
    </cfRule>
  </conditionalFormatting>
  <conditionalFormatting sqref="M41">
    <cfRule type="colorScale" priority="44">
      <colorScale>
        <cfvo type="num" val="5"/>
        <cfvo type="num" val="11"/>
        <color theme="0"/>
        <color rgb="FF63BE7B"/>
      </colorScale>
    </cfRule>
  </conditionalFormatting>
  <conditionalFormatting sqref="E40">
    <cfRule type="cellIs" dxfId="20" priority="43" operator="equal">
      <formula>"nonR"</formula>
    </cfRule>
  </conditionalFormatting>
  <conditionalFormatting sqref="M40">
    <cfRule type="colorScale" priority="42">
      <colorScale>
        <cfvo type="num" val="5"/>
        <cfvo type="num" val="11"/>
        <color theme="0"/>
        <color rgb="FF63BE7B"/>
      </colorScale>
    </cfRule>
  </conditionalFormatting>
  <conditionalFormatting sqref="E35:E36">
    <cfRule type="cellIs" dxfId="19" priority="41" operator="equal">
      <formula>"nonR"</formula>
    </cfRule>
  </conditionalFormatting>
  <conditionalFormatting sqref="M35:M36">
    <cfRule type="colorScale" priority="40">
      <colorScale>
        <cfvo type="num" val="5"/>
        <cfvo type="num" val="11"/>
        <color theme="0"/>
        <color rgb="FF63BE7B"/>
      </colorScale>
    </cfRule>
  </conditionalFormatting>
  <conditionalFormatting sqref="E35">
    <cfRule type="cellIs" dxfId="18" priority="39" operator="equal">
      <formula>"nonR"</formula>
    </cfRule>
  </conditionalFormatting>
  <conditionalFormatting sqref="M35">
    <cfRule type="colorScale" priority="38">
      <colorScale>
        <cfvo type="num" val="5"/>
        <cfvo type="num" val="11"/>
        <color theme="0"/>
        <color rgb="FF63BE7B"/>
      </colorScale>
    </cfRule>
  </conditionalFormatting>
  <conditionalFormatting sqref="E13">
    <cfRule type="cellIs" dxfId="17" priority="37" operator="equal">
      <formula>"nonR"</formula>
    </cfRule>
  </conditionalFormatting>
  <conditionalFormatting sqref="M13">
    <cfRule type="colorScale" priority="36">
      <colorScale>
        <cfvo type="num" val="5"/>
        <cfvo type="num" val="11"/>
        <color theme="0"/>
        <color rgb="FF63BE7B"/>
      </colorScale>
    </cfRule>
  </conditionalFormatting>
  <conditionalFormatting sqref="E31">
    <cfRule type="cellIs" dxfId="16" priority="35" operator="equal">
      <formula>"nonR"</formula>
    </cfRule>
  </conditionalFormatting>
  <conditionalFormatting sqref="M31">
    <cfRule type="colorScale" priority="34">
      <colorScale>
        <cfvo type="num" val="5"/>
        <cfvo type="num" val="11"/>
        <color theme="0"/>
        <color rgb="FF63BE7B"/>
      </colorScale>
    </cfRule>
  </conditionalFormatting>
  <conditionalFormatting sqref="E12">
    <cfRule type="cellIs" dxfId="15" priority="33" operator="equal">
      <formula>"nonR"</formula>
    </cfRule>
  </conditionalFormatting>
  <conditionalFormatting sqref="M12">
    <cfRule type="colorScale" priority="32">
      <colorScale>
        <cfvo type="num" val="5"/>
        <cfvo type="num" val="11"/>
        <color theme="0"/>
        <color rgb="FF63BE7B"/>
      </colorScale>
    </cfRule>
  </conditionalFormatting>
  <conditionalFormatting sqref="E17">
    <cfRule type="cellIs" dxfId="14" priority="31" operator="equal">
      <formula>"nonR"</formula>
    </cfRule>
  </conditionalFormatting>
  <conditionalFormatting sqref="M17">
    <cfRule type="colorScale" priority="30">
      <colorScale>
        <cfvo type="num" val="5"/>
        <cfvo type="num" val="11"/>
        <color theme="0"/>
        <color rgb="FF63BE7B"/>
      </colorScale>
    </cfRule>
  </conditionalFormatting>
  <conditionalFormatting sqref="E10">
    <cfRule type="cellIs" dxfId="13" priority="29" operator="equal">
      <formula>"nonR"</formula>
    </cfRule>
  </conditionalFormatting>
  <conditionalFormatting sqref="M10">
    <cfRule type="colorScale" priority="28">
      <colorScale>
        <cfvo type="num" val="5"/>
        <cfvo type="num" val="11"/>
        <color theme="0"/>
        <color rgb="FF63BE7B"/>
      </colorScale>
    </cfRule>
  </conditionalFormatting>
  <conditionalFormatting sqref="E11">
    <cfRule type="cellIs" dxfId="12" priority="27" operator="equal">
      <formula>"nonR"</formula>
    </cfRule>
  </conditionalFormatting>
  <conditionalFormatting sqref="M11">
    <cfRule type="colorScale" priority="26">
      <colorScale>
        <cfvo type="num" val="5"/>
        <cfvo type="num" val="11"/>
        <color theme="0"/>
        <color rgb="FF63BE7B"/>
      </colorScale>
    </cfRule>
  </conditionalFormatting>
  <conditionalFormatting sqref="E15:E17">
    <cfRule type="cellIs" dxfId="11" priority="25" operator="equal">
      <formula>"nonR"</formula>
    </cfRule>
  </conditionalFormatting>
  <conditionalFormatting sqref="M15:M17">
    <cfRule type="colorScale" priority="24">
      <colorScale>
        <cfvo type="num" val="5"/>
        <cfvo type="num" val="11"/>
        <color theme="0"/>
        <color rgb="FF63BE7B"/>
      </colorScale>
    </cfRule>
  </conditionalFormatting>
  <conditionalFormatting sqref="E18">
    <cfRule type="cellIs" dxfId="10" priority="23" operator="equal">
      <formula>"nonR"</formula>
    </cfRule>
  </conditionalFormatting>
  <conditionalFormatting sqref="M18">
    <cfRule type="colorScale" priority="22">
      <colorScale>
        <cfvo type="num" val="5"/>
        <cfvo type="num" val="11"/>
        <color theme="0"/>
        <color rgb="FF63BE7B"/>
      </colorScale>
    </cfRule>
  </conditionalFormatting>
  <conditionalFormatting sqref="E29:E30">
    <cfRule type="cellIs" dxfId="9" priority="21" operator="equal">
      <formula>"nonR"</formula>
    </cfRule>
  </conditionalFormatting>
  <conditionalFormatting sqref="M29:M30">
    <cfRule type="colorScale" priority="20">
      <colorScale>
        <cfvo type="num" val="5"/>
        <cfvo type="num" val="11"/>
        <color theme="0"/>
        <color rgb="FF63BE7B"/>
      </colorScale>
    </cfRule>
  </conditionalFormatting>
  <conditionalFormatting sqref="E32">
    <cfRule type="cellIs" dxfId="8" priority="19" operator="equal">
      <formula>"nonR"</formula>
    </cfRule>
  </conditionalFormatting>
  <conditionalFormatting sqref="M32">
    <cfRule type="colorScale" priority="18">
      <colorScale>
        <cfvo type="num" val="5"/>
        <cfvo type="num" val="11"/>
        <color theme="0"/>
        <color rgb="FF63BE7B"/>
      </colorScale>
    </cfRule>
  </conditionalFormatting>
  <conditionalFormatting sqref="E33">
    <cfRule type="cellIs" dxfId="7" priority="17" operator="equal">
      <formula>"nonR"</formula>
    </cfRule>
  </conditionalFormatting>
  <conditionalFormatting sqref="M33">
    <cfRule type="colorScale" priority="16">
      <colorScale>
        <cfvo type="num" val="5"/>
        <cfvo type="num" val="11"/>
        <color theme="0"/>
        <color rgb="FF63BE7B"/>
      </colorScale>
    </cfRule>
  </conditionalFormatting>
  <conditionalFormatting sqref="E37">
    <cfRule type="cellIs" dxfId="6" priority="15" operator="equal">
      <formula>"nonR"</formula>
    </cfRule>
  </conditionalFormatting>
  <conditionalFormatting sqref="M37">
    <cfRule type="colorScale" priority="14">
      <colorScale>
        <cfvo type="num" val="5"/>
        <cfvo type="num" val="11"/>
        <color theme="0"/>
        <color rgb="FF63BE7B"/>
      </colorScale>
    </cfRule>
  </conditionalFormatting>
  <conditionalFormatting sqref="E21">
    <cfRule type="cellIs" dxfId="5" priority="13" operator="equal">
      <formula>"nonR"</formula>
    </cfRule>
  </conditionalFormatting>
  <conditionalFormatting sqref="M21">
    <cfRule type="colorScale" priority="12">
      <colorScale>
        <cfvo type="num" val="5"/>
        <cfvo type="num" val="11"/>
        <color theme="0"/>
        <color rgb="FF63BE7B"/>
      </colorScale>
    </cfRule>
  </conditionalFormatting>
  <conditionalFormatting sqref="E26:E28">
    <cfRule type="cellIs" dxfId="4" priority="11" operator="equal">
      <formula>"nonR"</formula>
    </cfRule>
  </conditionalFormatting>
  <conditionalFormatting sqref="M26:M28">
    <cfRule type="colorScale" priority="10">
      <colorScale>
        <cfvo type="num" val="5"/>
        <cfvo type="num" val="11"/>
        <color theme="0"/>
        <color rgb="FF63BE7B"/>
      </colorScale>
    </cfRule>
  </conditionalFormatting>
  <conditionalFormatting sqref="E23:E24">
    <cfRule type="cellIs" dxfId="3" priority="9" operator="equal">
      <formula>"nonR"</formula>
    </cfRule>
  </conditionalFormatting>
  <conditionalFormatting sqref="M23:M24">
    <cfRule type="colorScale" priority="8">
      <colorScale>
        <cfvo type="num" val="5"/>
        <cfvo type="num" val="11"/>
        <color theme="0"/>
        <color rgb="FF63BE7B"/>
      </colorScale>
    </cfRule>
  </conditionalFormatting>
  <conditionalFormatting sqref="E25">
    <cfRule type="cellIs" dxfId="2" priority="7" operator="equal">
      <formula>"nonR"</formula>
    </cfRule>
  </conditionalFormatting>
  <conditionalFormatting sqref="M25">
    <cfRule type="colorScale" priority="6">
      <colorScale>
        <cfvo type="num" val="5"/>
        <cfvo type="num" val="11"/>
        <color theme="0"/>
        <color rgb="FF63BE7B"/>
      </colorScale>
    </cfRule>
  </conditionalFormatting>
  <conditionalFormatting sqref="E19">
    <cfRule type="cellIs" dxfId="1" priority="5" operator="equal">
      <formula>"nonR"</formula>
    </cfRule>
  </conditionalFormatting>
  <conditionalFormatting sqref="M19">
    <cfRule type="colorScale" priority="4">
      <colorScale>
        <cfvo type="num" val="5"/>
        <cfvo type="num" val="11"/>
        <color theme="0"/>
        <color rgb="FF63BE7B"/>
      </colorScale>
    </cfRule>
  </conditionalFormatting>
  <conditionalFormatting sqref="E14">
    <cfRule type="cellIs" dxfId="0" priority="3" operator="equal">
      <formula>"nonR"</formula>
    </cfRule>
  </conditionalFormatting>
  <conditionalFormatting sqref="M14">
    <cfRule type="colorScale" priority="2">
      <colorScale>
        <cfvo type="num" val="5"/>
        <cfvo type="num" val="11"/>
        <color theme="0"/>
        <color rgb="FF63BE7B"/>
      </colorScale>
    </cfRule>
  </conditionalFormatting>
  <conditionalFormatting sqref="AG9:AG41">
    <cfRule type="colorScale" priority="1">
      <colorScale>
        <cfvo type="num" val="0"/>
        <cfvo type="num" val="1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ready_to_match</vt:lpstr>
      <vt:lpstr>m_girls_TS</vt:lpstr>
      <vt:lpstr>m_boys_TS</vt:lpstr>
      <vt:lpstr>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Kevin</cp:lastModifiedBy>
  <dcterms:created xsi:type="dcterms:W3CDTF">2025-11-11T06:28:29Z</dcterms:created>
  <dcterms:modified xsi:type="dcterms:W3CDTF">2025-11-11T07:48:29Z</dcterms:modified>
</cp:coreProperties>
</file>