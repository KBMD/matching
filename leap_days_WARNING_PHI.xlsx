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vin\src\matching\"/>
    </mc:Choice>
  </mc:AlternateContent>
  <xr:revisionPtr revIDLastSave="0" documentId="13_ncr:1_{E4CC376B-9181-45DD-92CC-8A99EB54B859}" xr6:coauthVersionLast="47" xr6:coauthVersionMax="47" xr10:uidLastSave="{00000000-0000-0000-0000-000000000000}"/>
  <bookViews>
    <workbookView xWindow="16750" yWindow="9430" windowWidth="21120" windowHeight="10300" xr2:uid="{1AF8C1AC-4CA4-4E70-BF32-F340457F31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1" l="1"/>
  <c r="L27" i="1"/>
  <c r="G27" i="1"/>
  <c r="F27" i="1"/>
  <c r="G26" i="1"/>
  <c r="F26" i="1"/>
  <c r="E26" i="1"/>
  <c r="H26" i="1" s="1"/>
  <c r="J26" i="1" s="1"/>
  <c r="G25" i="1"/>
  <c r="F25" i="1"/>
  <c r="E25" i="1"/>
  <c r="H25" i="1" s="1"/>
  <c r="J25" i="1" s="1"/>
  <c r="P27" i="1"/>
  <c r="E27" i="1" s="1"/>
  <c r="H27" i="1" s="1"/>
  <c r="J27" i="1" s="1"/>
  <c r="O27" i="1"/>
  <c r="M27" i="1"/>
  <c r="N27" i="1" s="1"/>
  <c r="P26" i="1"/>
  <c r="O26" i="1"/>
  <c r="M26" i="1"/>
  <c r="N26" i="1" s="1"/>
  <c r="P25" i="1"/>
  <c r="O25" i="1"/>
  <c r="M25" i="1"/>
  <c r="N25" i="1" s="1"/>
  <c r="L26" i="1"/>
  <c r="L25" i="1"/>
  <c r="K27" i="1"/>
  <c r="K26" i="1"/>
  <c r="K25" i="1"/>
  <c r="E15" i="1"/>
  <c r="G18" i="1"/>
  <c r="G24" i="1"/>
  <c r="G21" i="1"/>
  <c r="G22" i="1"/>
  <c r="G23" i="1"/>
  <c r="G16" i="1"/>
  <c r="G17" i="1"/>
  <c r="G20" i="1"/>
  <c r="G19" i="1"/>
  <c r="F18" i="1"/>
  <c r="F24" i="1"/>
  <c r="F21" i="1"/>
  <c r="F22" i="1"/>
  <c r="F23" i="1"/>
  <c r="F16" i="1"/>
  <c r="F17" i="1"/>
  <c r="F20" i="1"/>
  <c r="M18" i="1"/>
  <c r="N18" i="1" s="1"/>
  <c r="P18" i="1"/>
  <c r="O18" i="1"/>
  <c r="P24" i="1"/>
  <c r="O24" i="1"/>
  <c r="M24" i="1"/>
  <c r="N24" i="1" s="1"/>
  <c r="P21" i="1"/>
  <c r="O21" i="1"/>
  <c r="M21" i="1"/>
  <c r="N21" i="1" s="1"/>
  <c r="P22" i="1"/>
  <c r="O22" i="1"/>
  <c r="M22" i="1"/>
  <c r="N22" i="1" s="1"/>
  <c r="P23" i="1"/>
  <c r="O23" i="1"/>
  <c r="M23" i="1"/>
  <c r="N23" i="1" s="1"/>
  <c r="E23" i="1" s="1"/>
  <c r="L15" i="1"/>
  <c r="M15" i="1" s="1"/>
  <c r="N15" i="1" s="1"/>
  <c r="P16" i="1"/>
  <c r="O16" i="1"/>
  <c r="P15" i="1"/>
  <c r="P17" i="1"/>
  <c r="O17" i="1"/>
  <c r="P20" i="1"/>
  <c r="O20" i="1"/>
  <c r="P19" i="1"/>
  <c r="O19" i="1"/>
  <c r="K15" i="1"/>
  <c r="O15" i="1" s="1"/>
  <c r="K19" i="1"/>
  <c r="F19" i="1" s="1"/>
  <c r="M16" i="1"/>
  <c r="N16" i="1" s="1"/>
  <c r="M17" i="1"/>
  <c r="N17" i="1" s="1"/>
  <c r="A4" i="1"/>
  <c r="A5" i="1"/>
  <c r="A3" i="1"/>
  <c r="A2" i="1"/>
  <c r="L5" i="1" s="1"/>
  <c r="E17" i="1" l="1"/>
  <c r="E21" i="1"/>
  <c r="H21" i="1" s="1"/>
  <c r="J21" i="1" s="1"/>
  <c r="E24" i="1"/>
  <c r="H24" i="1" s="1"/>
  <c r="J24" i="1" s="1"/>
  <c r="E18" i="1"/>
  <c r="H18" i="1" s="1"/>
  <c r="J18" i="1" s="1"/>
  <c r="G15" i="1"/>
  <c r="E22" i="1"/>
  <c r="H22" i="1" s="1"/>
  <c r="J22" i="1" s="1"/>
  <c r="F15" i="1"/>
  <c r="H15" i="1" s="1"/>
  <c r="J15" i="1" s="1"/>
  <c r="H23" i="1"/>
  <c r="J23" i="1" s="1"/>
  <c r="H17" i="1"/>
  <c r="J17" i="1" s="1"/>
  <c r="E16" i="1"/>
  <c r="H16" i="1" s="1"/>
  <c r="J16" i="1" s="1"/>
  <c r="M20" i="1"/>
  <c r="N20" i="1" s="1"/>
  <c r="E20" i="1" s="1"/>
  <c r="H20" i="1" s="1"/>
  <c r="J20" i="1" s="1"/>
  <c r="M19" i="1"/>
  <c r="N19" i="1" s="1"/>
  <c r="E19" i="1" s="1"/>
  <c r="H19" i="1" s="1"/>
  <c r="J19" i="1" s="1"/>
  <c r="D4" i="1"/>
  <c r="E4" i="1" s="1"/>
  <c r="G4" i="1" s="1"/>
  <c r="D3" i="1"/>
  <c r="E3" i="1" s="1"/>
  <c r="F3" i="1" s="1"/>
  <c r="L3" i="1"/>
  <c r="B5" i="1"/>
  <c r="K5" i="1" s="1"/>
  <c r="D5" i="1"/>
  <c r="E5" i="1" s="1"/>
  <c r="F5" i="1" s="1"/>
  <c r="B3" i="1"/>
  <c r="K3" i="1" s="1"/>
  <c r="B4" i="1"/>
  <c r="K4" i="1" s="1"/>
  <c r="G5" i="1" l="1"/>
  <c r="G3" i="1"/>
  <c r="J3" i="1"/>
  <c r="F4" i="1"/>
  <c r="J4" i="1" s="1"/>
  <c r="J5" i="1"/>
</calcChain>
</file>

<file path=xl/sharedStrings.xml><?xml version="1.0" encoding="utf-8"?>
<sst xmlns="http://schemas.openxmlformats.org/spreadsheetml/2006/main" count="27" uniqueCount="27">
  <si>
    <t>end - start</t>
  </si>
  <si>
    <t>days/365.25</t>
  </si>
  <si>
    <t>YEARFRAC</t>
  </si>
  <si>
    <t># of leap days (KJB)</t>
  </si>
  <si>
    <t>whole years</t>
  </si>
  <si>
    <t>days since b'day</t>
  </si>
  <si>
    <t>last b'day</t>
  </si>
  <si>
    <t>recalculated age</t>
  </si>
  <si>
    <t>leap day since birthday? (KJB)</t>
  </si>
  <si>
    <t>b'day year of visit</t>
  </si>
  <si>
    <t>ldsb?</t>
  </si>
  <si>
    <t>count leap days between birthday and this date</t>
  </si>
  <si>
    <t>if it's 2/29 or later this year, and it's a leap year this year, add one</t>
  </si>
  <si>
    <t>if birthday was before 3/1 in birth year, and it was a leap year, add one</t>
  </si>
  <si>
    <t>count leap years strictly between year(then) and year(now)</t>
  </si>
  <si>
    <t>i.e. count years divisible by 4 strictly between those years</t>
  </si>
  <si>
    <t>s.y. mod 4</t>
  </si>
  <si>
    <t>e.y. mod 4</t>
  </si>
  <si>
    <t>diff.//4</t>
  </si>
  <si>
    <t>start</t>
  </si>
  <si>
    <t>end</t>
  </si>
  <si>
    <t>diff.years</t>
  </si>
  <si>
    <t># mod flipovers</t>
  </si>
  <si>
    <t>known l.d. between, inclusive</t>
  </si>
  <si>
    <t>start&lt;=LD</t>
  </si>
  <si>
    <t>end&gt;=LD</t>
  </si>
  <si>
    <t>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</si>
</sst>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yyyy\-mm\-dd;@"/>
  </numFmts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6"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1" fillId="2" borderId="0" xfId="1" applyBorder="1"/>
    <xf numFmtId="165" fontId="2" fillId="0" borderId="0" xfId="0" applyNumberFormat="1" applyFont="1"/>
  </cellXfs>
  <cellStyles count="2">
    <cellStyle name="Check Cell" xfId="1" builtinId="23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79794-01DF-4A6C-80BD-09DA56749845}">
  <dimension ref="A1:P27"/>
  <sheetViews>
    <sheetView tabSelected="1" workbookViewId="0">
      <selection activeCell="L5" sqref="L5"/>
    </sheetView>
  </sheetViews>
  <sheetFormatPr defaultRowHeight="14.5" x14ac:dyDescent="0.35"/>
  <cols>
    <col min="1" max="1" width="10.08984375" bestFit="1" customWidth="1"/>
    <col min="4" max="4" width="14.453125" bestFit="1" customWidth="1"/>
    <col min="5" max="5" width="10.08984375" bestFit="1" customWidth="1"/>
    <col min="6" max="6" width="10.08984375" customWidth="1"/>
    <col min="7" max="7" width="13.90625" bestFit="1" customWidth="1"/>
    <col min="8" max="8" width="13.90625" customWidth="1"/>
    <col min="9" max="9" width="18.26953125" bestFit="1" customWidth="1"/>
    <col min="10" max="10" width="14.36328125" bestFit="1" customWidth="1"/>
    <col min="11" max="11" width="10.7265625" bestFit="1" customWidth="1"/>
    <col min="12" max="12" width="10.08984375" bestFit="1" customWidth="1"/>
    <col min="13" max="13" width="16.08984375" bestFit="1" customWidth="1"/>
  </cols>
  <sheetData>
    <row r="1" spans="1:16" x14ac:dyDescent="0.35">
      <c r="B1" t="s">
        <v>0</v>
      </c>
      <c r="D1" t="s">
        <v>9</v>
      </c>
      <c r="E1" t="s">
        <v>6</v>
      </c>
      <c r="F1" t="s">
        <v>4</v>
      </c>
      <c r="G1" t="s">
        <v>5</v>
      </c>
      <c r="H1" t="s">
        <v>10</v>
      </c>
      <c r="I1" t="s">
        <v>8</v>
      </c>
      <c r="J1" t="s">
        <v>7</v>
      </c>
      <c r="K1" t="s">
        <v>1</v>
      </c>
      <c r="L1" t="s">
        <v>2</v>
      </c>
      <c r="M1" t="s">
        <v>3</v>
      </c>
    </row>
    <row r="2" spans="1:16" x14ac:dyDescent="0.35">
      <c r="A2" s="5">
        <f>DATE(2013,7,28)</f>
        <v>41483</v>
      </c>
    </row>
    <row r="3" spans="1:16" x14ac:dyDescent="0.35">
      <c r="A3" s="3">
        <f>DATE(2019,5,20)</f>
        <v>43605</v>
      </c>
      <c r="B3">
        <f>A3-A$2</f>
        <v>2122</v>
      </c>
      <c r="D3" s="3">
        <f>DATE(YEAR(A3),MONTH(A$2),DAY(A$2))</f>
        <v>43674</v>
      </c>
      <c r="E3" s="3">
        <f>IF(D3&lt;=A3,D3,DATE(YEAR(D3)-1,MONTH(D3),DAY(D3)))</f>
        <v>43309</v>
      </c>
      <c r="F3">
        <f>YEAR(E3)-YEAR(A$2)</f>
        <v>5</v>
      </c>
      <c r="G3">
        <f>A3-E3</f>
        <v>296</v>
      </c>
      <c r="I3" t="b">
        <v>0</v>
      </c>
      <c r="J3" s="2">
        <f>IF(I3,F3+G3/365,F3+G3/365.25)</f>
        <v>5.8104038329911019</v>
      </c>
      <c r="K3" s="2">
        <f>B3/365.25</f>
        <v>5.8097193702943191</v>
      </c>
      <c r="L3" s="2">
        <f>YEARFRAC(A$2,A3,1)</f>
        <v>5.8114241001564944</v>
      </c>
      <c r="M3">
        <v>1</v>
      </c>
    </row>
    <row r="4" spans="1:16" x14ac:dyDescent="0.35">
      <c r="A4" s="3">
        <f>DATE(2019,5,25)</f>
        <v>43610</v>
      </c>
      <c r="B4">
        <f>A4-A$2</f>
        <v>2127</v>
      </c>
      <c r="D4" s="3">
        <f>DATE(YEAR(A4),MONTH(A$2),DAY(A$2))</f>
        <v>43674</v>
      </c>
      <c r="E4" s="3">
        <f>IF(D4&lt;=A4,D4,DATE(YEAR(D4)-1,MONTH(D4),DAY(D4)))</f>
        <v>43309</v>
      </c>
      <c r="F4">
        <f>YEAR(E4)-YEAR(A$2)</f>
        <v>5</v>
      </c>
      <c r="G4">
        <f>A4-E4</f>
        <v>301</v>
      </c>
      <c r="I4" t="b">
        <v>0</v>
      </c>
      <c r="J4" s="2">
        <f>IF(I4,F4+G4/365,F4+G4/365.25)</f>
        <v>5.8240930869267622</v>
      </c>
      <c r="K4" s="2">
        <f>B4/365.25</f>
        <v>5.8234086242299794</v>
      </c>
      <c r="L4" s="2">
        <f>YEARFRAC(A$2,A4,1)</f>
        <v>5.8251173708920181</v>
      </c>
      <c r="M4">
        <v>1</v>
      </c>
    </row>
    <row r="5" spans="1:16" x14ac:dyDescent="0.35">
      <c r="A5" s="3">
        <f>DATE(2019,9,13)</f>
        <v>43721</v>
      </c>
      <c r="B5">
        <f>A5-A$2</f>
        <v>2238</v>
      </c>
      <c r="D5" s="3">
        <f>DATE(YEAR(A5),MONTH(A$2),DAY(A$2))</f>
        <v>43674</v>
      </c>
      <c r="E5" s="3">
        <f>IF(D5&lt;=A5,D5,DATE(YEAR(D5)-1,MONTH(D5),DAY(D5)))</f>
        <v>43674</v>
      </c>
      <c r="F5">
        <f>YEAR(E5)-YEAR(A$2)</f>
        <v>6</v>
      </c>
      <c r="G5">
        <f>A5-E5</f>
        <v>47</v>
      </c>
      <c r="I5" t="b">
        <v>0</v>
      </c>
      <c r="J5" s="2">
        <f>IF(I5,F5+G5/365,F5+G5/365.25)</f>
        <v>6.128678986995209</v>
      </c>
      <c r="K5" s="2">
        <f>B5/365.25</f>
        <v>6.1273100616016425</v>
      </c>
      <c r="L5" s="2">
        <f>YEARFRAC(A$2,A5,1)</f>
        <v>6.129107981220657</v>
      </c>
      <c r="M5">
        <v>1</v>
      </c>
    </row>
    <row r="8" spans="1:16" x14ac:dyDescent="0.35">
      <c r="H8" t="s">
        <v>11</v>
      </c>
    </row>
    <row r="9" spans="1:16" x14ac:dyDescent="0.35">
      <c r="H9" t="s">
        <v>14</v>
      </c>
    </row>
    <row r="10" spans="1:16" x14ac:dyDescent="0.35">
      <c r="I10" t="s">
        <v>15</v>
      </c>
    </row>
    <row r="11" spans="1:16" x14ac:dyDescent="0.35">
      <c r="H11" t="s">
        <v>12</v>
      </c>
    </row>
    <row r="12" spans="1:16" x14ac:dyDescent="0.35">
      <c r="H12" t="s">
        <v>13</v>
      </c>
    </row>
    <row r="14" spans="1:16" x14ac:dyDescent="0.35">
      <c r="E14" t="s">
        <v>22</v>
      </c>
      <c r="F14" t="s">
        <v>24</v>
      </c>
      <c r="G14" t="s">
        <v>25</v>
      </c>
      <c r="H14" s="1" t="s">
        <v>26</v>
      </c>
      <c r="I14" s="1" t="s">
        <v>23</v>
      </c>
      <c r="J14" s="1"/>
      <c r="K14" t="s">
        <v>19</v>
      </c>
      <c r="L14" t="s">
        <v>20</v>
      </c>
      <c r="M14" t="s">
        <v>21</v>
      </c>
      <c r="N14" t="s">
        <v>18</v>
      </c>
      <c r="O14" t="s">
        <v>16</v>
      </c>
      <c r="P14" t="s">
        <v>17</v>
      </c>
    </row>
    <row r="15" spans="1:16" x14ac:dyDescent="0.35">
      <c r="E15">
        <f t="shared" ref="E15:E24" si="0">IF(O15&gt;P15,N15,N15-1)</f>
        <v>-1</v>
      </c>
      <c r="F15">
        <f t="shared" ref="F15:F24" si="1">IF(K15&lt;=DATE(YEAR(K15),2,29),1,0)</f>
        <v>1</v>
      </c>
      <c r="G15">
        <f t="shared" ref="G15:G24" si="2">IF(L15&gt;=DATE(YEAR(L15),2,29),1,0)</f>
        <v>1</v>
      </c>
      <c r="H15">
        <f t="shared" ref="H15:H24" si="3">SUM(E15:G15)</f>
        <v>1</v>
      </c>
      <c r="I15">
        <v>1</v>
      </c>
      <c r="J15" t="b">
        <f t="shared" ref="J15:J24" si="4">(H15=I15)</f>
        <v>1</v>
      </c>
      <c r="K15" s="1">
        <f>DATE(2000,2,1)</f>
        <v>36557</v>
      </c>
      <c r="L15" s="1">
        <f>DATE(2000,3,1)</f>
        <v>36586</v>
      </c>
      <c r="M15">
        <f t="shared" ref="M15:M24" si="5">YEAR(L15)-YEAR(K15)</f>
        <v>0</v>
      </c>
      <c r="N15">
        <f t="shared" ref="N15:N24" si="6">QUOTIENT(M15,4)</f>
        <v>0</v>
      </c>
      <c r="O15">
        <f t="shared" ref="O15:O24" si="7">MOD(YEAR(K15),4)</f>
        <v>0</v>
      </c>
      <c r="P15">
        <f t="shared" ref="P15:P24" si="8">MOD(YEAR(L15),4)</f>
        <v>0</v>
      </c>
    </row>
    <row r="16" spans="1:16" x14ac:dyDescent="0.35">
      <c r="E16">
        <f t="shared" si="0"/>
        <v>0</v>
      </c>
      <c r="F16">
        <f t="shared" si="1"/>
        <v>0</v>
      </c>
      <c r="G16">
        <f t="shared" si="2"/>
        <v>0</v>
      </c>
      <c r="H16">
        <f t="shared" si="3"/>
        <v>0</v>
      </c>
      <c r="I16">
        <v>0</v>
      </c>
      <c r="J16" t="b">
        <f t="shared" si="4"/>
        <v>1</v>
      </c>
      <c r="K16" s="1">
        <v>36600</v>
      </c>
      <c r="L16" s="1">
        <v>37987</v>
      </c>
      <c r="M16">
        <f t="shared" si="5"/>
        <v>4</v>
      </c>
      <c r="N16">
        <f t="shared" si="6"/>
        <v>1</v>
      </c>
      <c r="O16">
        <f t="shared" si="7"/>
        <v>0</v>
      </c>
      <c r="P16">
        <f t="shared" si="8"/>
        <v>0</v>
      </c>
    </row>
    <row r="17" spans="5:16" x14ac:dyDescent="0.35">
      <c r="E17">
        <f t="shared" si="0"/>
        <v>0</v>
      </c>
      <c r="F17">
        <f t="shared" si="1"/>
        <v>0</v>
      </c>
      <c r="G17">
        <f t="shared" si="2"/>
        <v>0</v>
      </c>
      <c r="H17">
        <f t="shared" si="3"/>
        <v>0</v>
      </c>
      <c r="I17">
        <v>0</v>
      </c>
      <c r="J17" t="b">
        <f t="shared" si="4"/>
        <v>1</v>
      </c>
      <c r="K17" s="1">
        <v>36586</v>
      </c>
      <c r="L17" s="1">
        <v>38018</v>
      </c>
      <c r="M17">
        <f t="shared" si="5"/>
        <v>4</v>
      </c>
      <c r="N17">
        <f t="shared" si="6"/>
        <v>1</v>
      </c>
      <c r="O17">
        <f t="shared" si="7"/>
        <v>0</v>
      </c>
      <c r="P17">
        <f t="shared" si="8"/>
        <v>0</v>
      </c>
    </row>
    <row r="18" spans="5:16" x14ac:dyDescent="0.35">
      <c r="E18">
        <f t="shared" si="0"/>
        <v>0</v>
      </c>
      <c r="F18">
        <f t="shared" si="1"/>
        <v>0</v>
      </c>
      <c r="G18">
        <f t="shared" si="2"/>
        <v>1</v>
      </c>
      <c r="H18">
        <f t="shared" si="3"/>
        <v>1</v>
      </c>
      <c r="I18" s="4">
        <v>1</v>
      </c>
      <c r="J18" t="b">
        <f t="shared" si="4"/>
        <v>1</v>
      </c>
      <c r="K18" s="1">
        <v>36586</v>
      </c>
      <c r="L18" s="1">
        <v>38046</v>
      </c>
      <c r="M18">
        <f t="shared" si="5"/>
        <v>4</v>
      </c>
      <c r="N18">
        <f t="shared" si="6"/>
        <v>1</v>
      </c>
      <c r="O18">
        <f t="shared" si="7"/>
        <v>0</v>
      </c>
      <c r="P18">
        <f t="shared" si="8"/>
        <v>0</v>
      </c>
    </row>
    <row r="19" spans="5:16" x14ac:dyDescent="0.35">
      <c r="E19">
        <f t="shared" si="0"/>
        <v>0</v>
      </c>
      <c r="F19">
        <f t="shared" si="1"/>
        <v>1</v>
      </c>
      <c r="G19">
        <f t="shared" si="2"/>
        <v>1</v>
      </c>
      <c r="H19">
        <f t="shared" si="3"/>
        <v>2</v>
      </c>
      <c r="I19">
        <v>2</v>
      </c>
      <c r="J19" t="b">
        <f t="shared" si="4"/>
        <v>1</v>
      </c>
      <c r="K19" s="1">
        <f>DATE(2000,2,1)</f>
        <v>36557</v>
      </c>
      <c r="L19" s="1">
        <v>38047</v>
      </c>
      <c r="M19">
        <f t="shared" si="5"/>
        <v>4</v>
      </c>
      <c r="N19">
        <f t="shared" si="6"/>
        <v>1</v>
      </c>
      <c r="O19">
        <f t="shared" si="7"/>
        <v>0</v>
      </c>
      <c r="P19">
        <f t="shared" si="8"/>
        <v>0</v>
      </c>
    </row>
    <row r="20" spans="5:16" x14ac:dyDescent="0.35">
      <c r="E20">
        <f t="shared" si="0"/>
        <v>1</v>
      </c>
      <c r="F20">
        <f t="shared" si="1"/>
        <v>1</v>
      </c>
      <c r="G20">
        <f t="shared" si="2"/>
        <v>0</v>
      </c>
      <c r="H20">
        <f t="shared" si="3"/>
        <v>2</v>
      </c>
      <c r="I20">
        <v>2</v>
      </c>
      <c r="J20" t="b">
        <f t="shared" si="4"/>
        <v>1</v>
      </c>
      <c r="K20" s="1">
        <v>36162</v>
      </c>
      <c r="L20" s="1">
        <v>38384</v>
      </c>
      <c r="M20">
        <f t="shared" si="5"/>
        <v>6</v>
      </c>
      <c r="N20">
        <f t="shared" si="6"/>
        <v>1</v>
      </c>
      <c r="O20">
        <f t="shared" si="7"/>
        <v>3</v>
      </c>
      <c r="P20">
        <f t="shared" si="8"/>
        <v>1</v>
      </c>
    </row>
    <row r="21" spans="5:16" x14ac:dyDescent="0.35">
      <c r="E21">
        <f t="shared" si="0"/>
        <v>1</v>
      </c>
      <c r="F21">
        <f t="shared" si="1"/>
        <v>1</v>
      </c>
      <c r="G21">
        <f t="shared" si="2"/>
        <v>1</v>
      </c>
      <c r="H21">
        <f t="shared" si="3"/>
        <v>3</v>
      </c>
      <c r="I21" s="4">
        <v>3</v>
      </c>
      <c r="J21" t="b">
        <f t="shared" si="4"/>
        <v>1</v>
      </c>
      <c r="K21" s="1">
        <v>36585</v>
      </c>
      <c r="L21" s="1">
        <v>39507</v>
      </c>
      <c r="M21">
        <f t="shared" si="5"/>
        <v>8</v>
      </c>
      <c r="N21">
        <f t="shared" si="6"/>
        <v>2</v>
      </c>
      <c r="O21">
        <f t="shared" si="7"/>
        <v>0</v>
      </c>
      <c r="P21">
        <f t="shared" si="8"/>
        <v>0</v>
      </c>
    </row>
    <row r="22" spans="5:16" x14ac:dyDescent="0.35">
      <c r="E22">
        <f t="shared" si="0"/>
        <v>1</v>
      </c>
      <c r="F22">
        <f t="shared" si="1"/>
        <v>1</v>
      </c>
      <c r="G22">
        <f t="shared" si="2"/>
        <v>1</v>
      </c>
      <c r="H22">
        <f t="shared" si="3"/>
        <v>3</v>
      </c>
      <c r="I22">
        <v>3</v>
      </c>
      <c r="J22" t="b">
        <f t="shared" si="4"/>
        <v>1</v>
      </c>
      <c r="K22" s="1">
        <v>36584</v>
      </c>
      <c r="L22" s="1">
        <v>39522</v>
      </c>
      <c r="M22">
        <f t="shared" si="5"/>
        <v>8</v>
      </c>
      <c r="N22">
        <f t="shared" si="6"/>
        <v>2</v>
      </c>
      <c r="O22">
        <f t="shared" si="7"/>
        <v>0</v>
      </c>
      <c r="P22">
        <f t="shared" si="8"/>
        <v>0</v>
      </c>
    </row>
    <row r="23" spans="5:16" x14ac:dyDescent="0.35">
      <c r="E23">
        <f t="shared" si="0"/>
        <v>1</v>
      </c>
      <c r="F23">
        <f t="shared" si="1"/>
        <v>1</v>
      </c>
      <c r="G23">
        <f t="shared" si="2"/>
        <v>1</v>
      </c>
      <c r="H23">
        <f t="shared" si="3"/>
        <v>3</v>
      </c>
      <c r="I23" s="4">
        <v>3</v>
      </c>
      <c r="J23" t="b">
        <f t="shared" si="4"/>
        <v>1</v>
      </c>
      <c r="K23" s="1">
        <v>36585</v>
      </c>
      <c r="L23" s="1">
        <v>39538</v>
      </c>
      <c r="M23">
        <f t="shared" si="5"/>
        <v>8</v>
      </c>
      <c r="N23">
        <f t="shared" si="6"/>
        <v>2</v>
      </c>
      <c r="O23">
        <f t="shared" si="7"/>
        <v>0</v>
      </c>
      <c r="P23">
        <f t="shared" si="8"/>
        <v>0</v>
      </c>
    </row>
    <row r="24" spans="5:16" x14ac:dyDescent="0.35">
      <c r="E24">
        <f t="shared" si="0"/>
        <v>6</v>
      </c>
      <c r="F24">
        <f t="shared" si="1"/>
        <v>1</v>
      </c>
      <c r="G24">
        <f t="shared" si="2"/>
        <v>0</v>
      </c>
      <c r="H24">
        <f t="shared" si="3"/>
        <v>7</v>
      </c>
      <c r="I24">
        <v>7</v>
      </c>
      <c r="J24" t="b">
        <f t="shared" si="4"/>
        <v>1</v>
      </c>
      <c r="K24" s="1">
        <v>36161</v>
      </c>
      <c r="L24" s="1">
        <v>45658</v>
      </c>
      <c r="M24">
        <f t="shared" si="5"/>
        <v>26</v>
      </c>
      <c r="N24">
        <f t="shared" si="6"/>
        <v>6</v>
      </c>
      <c r="O24">
        <f t="shared" si="7"/>
        <v>3</v>
      </c>
      <c r="P24">
        <f t="shared" si="8"/>
        <v>1</v>
      </c>
    </row>
    <row r="25" spans="5:16" x14ac:dyDescent="0.35">
      <c r="E25">
        <f t="shared" ref="E25:E27" si="9">IF(O25&gt;P25,N25,N25-1)</f>
        <v>0</v>
      </c>
      <c r="F25">
        <f t="shared" ref="F25:F27" si="10">IF(K25&lt;=DATE(YEAR(K25),2,29),1,0)</f>
        <v>0</v>
      </c>
      <c r="G25">
        <f t="shared" ref="G25:G27" si="11">IF(L25&gt;=DATE(YEAR(L25),2,29),1,0)</f>
        <v>1</v>
      </c>
      <c r="H25">
        <f t="shared" ref="H25:H27" si="12">SUM(E25:G25)</f>
        <v>1</v>
      </c>
      <c r="I25">
        <v>1</v>
      </c>
      <c r="J25" t="b">
        <f t="shared" ref="J25:J27" si="13">(H25=I25)</f>
        <v>1</v>
      </c>
      <c r="K25" s="3">
        <f t="shared" ref="K25:K27" si="14">DATE(2013,7,28)</f>
        <v>41483</v>
      </c>
      <c r="L25" s="3">
        <f>DATE(2019,5,20)</f>
        <v>43605</v>
      </c>
      <c r="M25">
        <f t="shared" ref="M25:M27" si="15">YEAR(L25)-YEAR(K25)</f>
        <v>6</v>
      </c>
      <c r="N25">
        <f t="shared" ref="N25:N27" si="16">QUOTIENT(M25,4)</f>
        <v>1</v>
      </c>
      <c r="O25">
        <f t="shared" ref="O25:O27" si="17">MOD(YEAR(K25),4)</f>
        <v>1</v>
      </c>
      <c r="P25">
        <f t="shared" ref="P25:P27" si="18">MOD(YEAR(L25),4)</f>
        <v>3</v>
      </c>
    </row>
    <row r="26" spans="5:16" x14ac:dyDescent="0.35">
      <c r="E26">
        <f t="shared" si="9"/>
        <v>0</v>
      </c>
      <c r="F26">
        <f t="shared" si="10"/>
        <v>0</v>
      </c>
      <c r="G26">
        <f t="shared" si="11"/>
        <v>1</v>
      </c>
      <c r="H26">
        <f t="shared" si="12"/>
        <v>1</v>
      </c>
      <c r="I26">
        <v>1</v>
      </c>
      <c r="J26" t="b">
        <f t="shared" si="13"/>
        <v>1</v>
      </c>
      <c r="K26" s="3">
        <f t="shared" si="14"/>
        <v>41483</v>
      </c>
      <c r="L26" s="3">
        <f>DATE(2019,5,25)</f>
        <v>43610</v>
      </c>
      <c r="M26">
        <f t="shared" si="15"/>
        <v>6</v>
      </c>
      <c r="N26">
        <f t="shared" si="16"/>
        <v>1</v>
      </c>
      <c r="O26">
        <f t="shared" si="17"/>
        <v>1</v>
      </c>
      <c r="P26">
        <f t="shared" si="18"/>
        <v>3</v>
      </c>
    </row>
    <row r="27" spans="5:16" x14ac:dyDescent="0.35">
      <c r="E27">
        <f t="shared" si="9"/>
        <v>0</v>
      </c>
      <c r="F27">
        <f t="shared" si="10"/>
        <v>0</v>
      </c>
      <c r="G27">
        <f t="shared" si="11"/>
        <v>1</v>
      </c>
      <c r="H27">
        <f t="shared" si="12"/>
        <v>1</v>
      </c>
      <c r="I27">
        <v>1</v>
      </c>
      <c r="J27" t="b">
        <f t="shared" si="13"/>
        <v>1</v>
      </c>
      <c r="K27" s="3">
        <f t="shared" si="14"/>
        <v>41483</v>
      </c>
      <c r="L27" s="3">
        <f>DATE(2019,9,13)</f>
        <v>43721</v>
      </c>
      <c r="M27">
        <f t="shared" si="15"/>
        <v>6</v>
      </c>
      <c r="N27">
        <f t="shared" si="16"/>
        <v>1</v>
      </c>
      <c r="O27">
        <f t="shared" si="17"/>
        <v>1</v>
      </c>
      <c r="P27">
        <f t="shared" si="18"/>
        <v>3</v>
      </c>
    </row>
  </sheetData>
  <sortState xmlns:xlrd2="http://schemas.microsoft.com/office/spreadsheetml/2017/richdata2" ref="E15:Q24">
    <sortCondition ref="Q15:Q24"/>
  </sortState>
  <conditionalFormatting sqref="J15:J27">
    <cfRule type="cellIs" dxfId="0" priority="1" operator="equal">
      <formula>FALSE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Black, Kevin</dc:creator>
  <cp:lastModifiedBy>Black, Kevin</cp:lastModifiedBy>
  <dcterms:created xsi:type="dcterms:W3CDTF">2025-09-13T15:06:01Z</dcterms:created>
  <dcterms:modified xsi:type="dcterms:W3CDTF">2025-09-13T20:46:23Z</dcterms:modified>
</cp:coreProperties>
</file>