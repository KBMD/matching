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src\matching\"/>
    </mc:Choice>
  </mc:AlternateContent>
  <xr:revisionPtr revIDLastSave="0" documentId="13_ncr:9_{EE1933D5-03FB-4730-BA79-F5E98B376EC2}" xr6:coauthVersionLast="47" xr6:coauthVersionMax="47" xr10:uidLastSave="{00000000-0000-0000-0000-000000000000}"/>
  <bookViews>
    <workbookView xWindow="7910" yWindow="8350" windowWidth="21120" windowHeight="10300" activeTab="3" xr2:uid="{93FA7A35-94A5-4C30-BC1B-861EDBEE5918}"/>
  </bookViews>
  <sheets>
    <sheet name="ready_to_match" sheetId="1" r:id="rId1"/>
    <sheet name="m_girls" sheetId="4" r:id="rId2"/>
    <sheet name="m_boys" sheetId="5" r:id="rId3"/>
    <sheet name="matched" sheetId="6" r:id="rId4"/>
  </sheets>
  <calcPr calcId="0"/>
</workbook>
</file>

<file path=xl/calcChain.xml><?xml version="1.0" encoding="utf-8"?>
<calcChain xmlns="http://schemas.openxmlformats.org/spreadsheetml/2006/main">
  <c r="AA36" i="6" l="1"/>
  <c r="AB36" i="6" s="1"/>
  <c r="AA35" i="6"/>
  <c r="AB35" i="6" s="1"/>
  <c r="AA34" i="6"/>
  <c r="AB34" i="6" s="1"/>
  <c r="AA33" i="6"/>
  <c r="AB33" i="6" s="1"/>
  <c r="AA32" i="6"/>
  <c r="AB32" i="6" s="1"/>
  <c r="AA31" i="6"/>
  <c r="AB31" i="6" s="1"/>
  <c r="AA30" i="6"/>
  <c r="AB30" i="6" s="1"/>
  <c r="AA29" i="6"/>
  <c r="AB29" i="6" s="1"/>
  <c r="AA28" i="6"/>
  <c r="AB28" i="6" s="1"/>
  <c r="AA10" i="6"/>
  <c r="AA27" i="6"/>
  <c r="AB27" i="6" s="1"/>
  <c r="AA26" i="6"/>
  <c r="AB26" i="6" s="1"/>
  <c r="AA25" i="6"/>
  <c r="AB25" i="6" s="1"/>
  <c r="AA24" i="6"/>
  <c r="AB24" i="6" s="1"/>
  <c r="AA23" i="6"/>
  <c r="AB23" i="6" s="1"/>
  <c r="AA22" i="6"/>
  <c r="AB22" i="6" s="1"/>
  <c r="AA21" i="6"/>
  <c r="AB21" i="6" s="1"/>
  <c r="AA20" i="6"/>
  <c r="AB20" i="6" s="1"/>
  <c r="AA19" i="6"/>
  <c r="AB19" i="6" s="1"/>
  <c r="AA18" i="6"/>
  <c r="AB18" i="6" s="1"/>
  <c r="AA17" i="6"/>
  <c r="AB17" i="6" s="1"/>
  <c r="AA16" i="6"/>
  <c r="AB16" i="6" s="1"/>
  <c r="AA15" i="6"/>
  <c r="AB15" i="6" s="1"/>
  <c r="AA14" i="6"/>
  <c r="AB14" i="6" s="1"/>
  <c r="AA13" i="6"/>
  <c r="AB13" i="6" s="1"/>
  <c r="AA12" i="6"/>
  <c r="AB12" i="6" s="1"/>
  <c r="AA11" i="6"/>
  <c r="AB11" i="6" s="1"/>
  <c r="AB10" i="6"/>
  <c r="AA9" i="6"/>
  <c r="AB9" i="6" s="1"/>
  <c r="AA8" i="6"/>
  <c r="AB8" i="6" s="1"/>
  <c r="AA7" i="6"/>
  <c r="AB7" i="6" s="1"/>
  <c r="AA6" i="6"/>
  <c r="AB6" i="6" s="1"/>
  <c r="AA5" i="6"/>
  <c r="AB5" i="6" s="1"/>
  <c r="AA4" i="6"/>
  <c r="AB4" i="6" s="1"/>
  <c r="AA3" i="6"/>
  <c r="AB3" i="6" s="1"/>
  <c r="AA2" i="6"/>
  <c r="AB2" i="6" s="1"/>
  <c r="AB74" i="5"/>
  <c r="AB73" i="5"/>
  <c r="AB72" i="5"/>
  <c r="AB71" i="5"/>
  <c r="AB70" i="5"/>
  <c r="AB69" i="5"/>
  <c r="AB68" i="5"/>
  <c r="AB67" i="5"/>
  <c r="AB65" i="5"/>
  <c r="AB64" i="5"/>
  <c r="AB63" i="5"/>
  <c r="AB62" i="5"/>
  <c r="AB61" i="5"/>
  <c r="AB59" i="5"/>
  <c r="AB56" i="5"/>
  <c r="AB55" i="5"/>
  <c r="AA74" i="5"/>
  <c r="AA73" i="5"/>
  <c r="AA72" i="5"/>
  <c r="AA71" i="5"/>
  <c r="AA70" i="5"/>
  <c r="AA69" i="5"/>
  <c r="AA68" i="5"/>
  <c r="AA67" i="5"/>
  <c r="AA66" i="5"/>
  <c r="AB66" i="5" s="1"/>
  <c r="AA65" i="5"/>
  <c r="AA64" i="5"/>
  <c r="AA63" i="5"/>
  <c r="AA62" i="5"/>
  <c r="AA61" i="5"/>
  <c r="AA60" i="5"/>
  <c r="AB60" i="5" s="1"/>
  <c r="AA59" i="5"/>
  <c r="AA58" i="5"/>
  <c r="AB58" i="5" s="1"/>
  <c r="AA57" i="5"/>
  <c r="AB57" i="5" s="1"/>
  <c r="AA56" i="5"/>
  <c r="AA55" i="5"/>
  <c r="AA54" i="5"/>
  <c r="AB54" i="5" s="1"/>
  <c r="AA53" i="5"/>
  <c r="AB53" i="5" s="1"/>
  <c r="AA52" i="5"/>
  <c r="AB52" i="5" s="1"/>
  <c r="AA51" i="5"/>
  <c r="AB51" i="5" s="1"/>
  <c r="AA50" i="5"/>
  <c r="AB50" i="5" s="1"/>
  <c r="AA49" i="5"/>
  <c r="AB49" i="5" s="1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Z7" i="5"/>
  <c r="Z6" i="5"/>
  <c r="Z5" i="5"/>
  <c r="Z4" i="5"/>
  <c r="Z3" i="5"/>
  <c r="Z2" i="5"/>
  <c r="AA31" i="4"/>
  <c r="AB31" i="4" s="1"/>
  <c r="AA30" i="4"/>
  <c r="AB30" i="4" s="1"/>
  <c r="AA29" i="4"/>
  <c r="AB29" i="4" s="1"/>
  <c r="AA28" i="4"/>
  <c r="AB28" i="4" s="1"/>
  <c r="AA27" i="4"/>
  <c r="AB27" i="4" s="1"/>
  <c r="AA26" i="4"/>
  <c r="AB26" i="4" s="1"/>
  <c r="AA25" i="4"/>
  <c r="AB25" i="4" s="1"/>
  <c r="AA24" i="4"/>
  <c r="AB24" i="4" s="1"/>
  <c r="AA23" i="4"/>
  <c r="AA33" i="4" s="1"/>
  <c r="AB41" i="6" l="1"/>
  <c r="AA38" i="6"/>
  <c r="AA39" i="6"/>
  <c r="AA40" i="6"/>
  <c r="AB38" i="6"/>
  <c r="AB39" i="6"/>
  <c r="AA41" i="6"/>
  <c r="AB40" i="6"/>
  <c r="AB79" i="5"/>
  <c r="AA79" i="5"/>
  <c r="AB78" i="5"/>
  <c r="AA77" i="5"/>
  <c r="AB76" i="5"/>
  <c r="AB77" i="5"/>
  <c r="AA76" i="5"/>
  <c r="AA78" i="5"/>
  <c r="AA36" i="4"/>
  <c r="AB23" i="4"/>
  <c r="AA34" i="4"/>
  <c r="AA35" i="4"/>
  <c r="AB35" i="4" l="1"/>
  <c r="AB33" i="4"/>
  <c r="AB34" i="4"/>
  <c r="AB36" i="4"/>
</calcChain>
</file>

<file path=xl/sharedStrings.xml><?xml version="1.0" encoding="utf-8"?>
<sst xmlns="http://schemas.openxmlformats.org/spreadsheetml/2006/main" count="3311" uniqueCount="189">
  <si>
    <t>participant_ID</t>
  </si>
  <si>
    <t>study_subject_ID</t>
  </si>
  <si>
    <t>tic_dx</t>
  </si>
  <si>
    <t>sex_at_birth</t>
  </si>
  <si>
    <t>handedness</t>
  </si>
  <si>
    <t>age_at_scan_who</t>
  </si>
  <si>
    <t>best_ygtss_impairment</t>
  </si>
  <si>
    <t>best_ygtss_tts</t>
  </si>
  <si>
    <t>duration_of_tics_(days)</t>
  </si>
  <si>
    <t>dx_group</t>
  </si>
  <si>
    <t>Unnamed: 10</t>
  </si>
  <si>
    <t>session_ID</t>
  </si>
  <si>
    <t>scanner_make_model</t>
  </si>
  <si>
    <t>scanner_identifier</t>
  </si>
  <si>
    <t>age_at_scan_scan_day</t>
  </si>
  <si>
    <t>tic_diagnosis_current</t>
  </si>
  <si>
    <t>age_diff</t>
  </si>
  <si>
    <t>case_control</t>
  </si>
  <si>
    <t>transmit_coil</t>
  </si>
  <si>
    <t>receive_coil</t>
  </si>
  <si>
    <t>pulse_sequence</t>
  </si>
  <si>
    <t>TR</t>
  </si>
  <si>
    <t>TE</t>
  </si>
  <si>
    <t>TI</t>
  </si>
  <si>
    <t>flip_angle</t>
  </si>
  <si>
    <t>bandwidth</t>
  </si>
  <si>
    <t>FoV</t>
  </si>
  <si>
    <t>matrix</t>
  </si>
  <si>
    <t>voxel_size</t>
  </si>
  <si>
    <t>partial_Fourier</t>
  </si>
  <si>
    <t>phase_resolution</t>
  </si>
  <si>
    <t>slice_resolution</t>
  </si>
  <si>
    <t>average</t>
  </si>
  <si>
    <t>MSCPI05</t>
  </si>
  <si>
    <t>none</t>
  </si>
  <si>
    <t>M</t>
  </si>
  <si>
    <t>R</t>
  </si>
  <si>
    <t>ses-02</t>
  </si>
  <si>
    <t>SiemensPrisma_fit</t>
  </si>
  <si>
    <t>control</t>
  </si>
  <si>
    <t>Body</t>
  </si>
  <si>
    <t>HeadNeck_64HC1-7;NC1</t>
  </si>
  <si>
    <t>tfl3d1_16ns%CustomerSeq%\tfl_mgh_epinav_ABCD</t>
  </si>
  <si>
    <t>(256.0, 256,  256)</t>
  </si>
  <si>
    <t>(256,  256)</t>
  </si>
  <si>
    <t>1x1x1</t>
  </si>
  <si>
    <t>MSCPI06</t>
  </si>
  <si>
    <t>ses-01</t>
  </si>
  <si>
    <t>MSCPI07</t>
  </si>
  <si>
    <t>MSCPI08</t>
  </si>
  <si>
    <t>MSCPI10</t>
  </si>
  <si>
    <t>MSCPI11</t>
  </si>
  <si>
    <t>MSCPI12</t>
  </si>
  <si>
    <t>F</t>
  </si>
  <si>
    <t>MSCPI13</t>
  </si>
  <si>
    <t>MSCPI17</t>
  </si>
  <si>
    <t>MSCPI19</t>
  </si>
  <si>
    <t>HeadNeck_64HC2</t>
  </si>
  <si>
    <t>NT812</t>
  </si>
  <si>
    <t>PTD</t>
  </si>
  <si>
    <t>ses-screen</t>
  </si>
  <si>
    <t>TTD</t>
  </si>
  <si>
    <t>0.022997946999999463</t>
  </si>
  <si>
    <t>case</t>
  </si>
  <si>
    <t>HeadNeck_64HC1-7</t>
  </si>
  <si>
    <t>NT813</t>
  </si>
  <si>
    <t>NT814</t>
  </si>
  <si>
    <t>NT815</t>
  </si>
  <si>
    <t>NT816</t>
  </si>
  <si>
    <t>NT817</t>
  </si>
  <si>
    <t>L</t>
  </si>
  <si>
    <t>0.044695413999999545</t>
  </si>
  <si>
    <t>NT818</t>
  </si>
  <si>
    <t>NT819</t>
  </si>
  <si>
    <t>NT820</t>
  </si>
  <si>
    <t>0.017659137999999963</t>
  </si>
  <si>
    <t>NT821</t>
  </si>
  <si>
    <t>NT823</t>
  </si>
  <si>
    <t>NT825</t>
  </si>
  <si>
    <t>0.020807666000000502</t>
  </si>
  <si>
    <t>NT829</t>
  </si>
  <si>
    <t>NT832</t>
  </si>
  <si>
    <t>0.014784393999999423</t>
  </si>
  <si>
    <t>NT833</t>
  </si>
  <si>
    <t>NT834</t>
  </si>
  <si>
    <t>0.029979465999999455</t>
  </si>
  <si>
    <t>NT836</t>
  </si>
  <si>
    <t>NT841</t>
  </si>
  <si>
    <t>0.045174538000000375</t>
  </si>
  <si>
    <t>NT842</t>
  </si>
  <si>
    <t>NT845</t>
  </si>
  <si>
    <t>0.020670772999999976</t>
  </si>
  <si>
    <t>NT846</t>
  </si>
  <si>
    <t>NT847</t>
  </si>
  <si>
    <t>NT848</t>
  </si>
  <si>
    <t>NT849</t>
  </si>
  <si>
    <t>0.044763860000000655</t>
  </si>
  <si>
    <t>NT850</t>
  </si>
  <si>
    <t>0.014510608999998453</t>
  </si>
  <si>
    <t>NT851</t>
  </si>
  <si>
    <t>NT852</t>
  </si>
  <si>
    <t>NT853</t>
  </si>
  <si>
    <t>NT855</t>
  </si>
  <si>
    <t>NT856</t>
  </si>
  <si>
    <t>NT857</t>
  </si>
  <si>
    <t>NT858</t>
  </si>
  <si>
    <t>0.025119780999999897</t>
  </si>
  <si>
    <t>NT859</t>
  </si>
  <si>
    <t>NT860</t>
  </si>
  <si>
    <t>NT862</t>
  </si>
  <si>
    <t>NT864</t>
  </si>
  <si>
    <t>0.021149897000000806</t>
  </si>
  <si>
    <t>NT865</t>
  </si>
  <si>
    <t>0.028336755999999852</t>
  </si>
  <si>
    <t>MSCPI18</t>
  </si>
  <si>
    <t>NT867</t>
  </si>
  <si>
    <t>NT868</t>
  </si>
  <si>
    <t>NT870</t>
  </si>
  <si>
    <t>NT874</t>
  </si>
  <si>
    <t>NT875</t>
  </si>
  <si>
    <t>NT876</t>
  </si>
  <si>
    <t>A</t>
  </si>
  <si>
    <t>NT882</t>
  </si>
  <si>
    <t>NT883</t>
  </si>
  <si>
    <t>0.045859000000000094</t>
  </si>
  <si>
    <t>NT884</t>
  </si>
  <si>
    <t>NT885</t>
  </si>
  <si>
    <t>0.026078028999998892</t>
  </si>
  <si>
    <t>NT886</t>
  </si>
  <si>
    <t>0.036208076999999506</t>
  </si>
  <si>
    <t>NT887</t>
  </si>
  <si>
    <t>0.024161530000000653</t>
  </si>
  <si>
    <t>NT891</t>
  </si>
  <si>
    <t>0.012867899000001515</t>
  </si>
  <si>
    <t>NT892</t>
  </si>
  <si>
    <t>0.048459958999999664</t>
  </si>
  <si>
    <t>NT893</t>
  </si>
  <si>
    <t>NT894</t>
  </si>
  <si>
    <t>0.027926078000000132</t>
  </si>
  <si>
    <t>NT895</t>
  </si>
  <si>
    <t>NT898</t>
  </si>
  <si>
    <t>NT899</t>
  </si>
  <si>
    <t>NT900</t>
  </si>
  <si>
    <t>TS</t>
  </si>
  <si>
    <t>0.023134838999999907</t>
  </si>
  <si>
    <t>NT901</t>
  </si>
  <si>
    <t>NT902</t>
  </si>
  <si>
    <t>0.015811089999999695</t>
  </si>
  <si>
    <t>NT903</t>
  </si>
  <si>
    <t>NT906</t>
  </si>
  <si>
    <t>NT907</t>
  </si>
  <si>
    <t>0.034428474000000264</t>
  </si>
  <si>
    <t>NT908</t>
  </si>
  <si>
    <t>0.021218344000000222</t>
  </si>
  <si>
    <t>NT914</t>
  </si>
  <si>
    <t>0.010130047999999725</t>
  </si>
  <si>
    <t>NT917</t>
  </si>
  <si>
    <t>NT918</t>
  </si>
  <si>
    <t>NT919</t>
  </si>
  <si>
    <t>NT921</t>
  </si>
  <si>
    <t>0.048049280999999944</t>
  </si>
  <si>
    <t>NT922</t>
  </si>
  <si>
    <t>0.033744010999999574</t>
  </si>
  <si>
    <t>NT924</t>
  </si>
  <si>
    <t>NT926</t>
  </si>
  <si>
    <t>0.018412046999999987</t>
  </si>
  <si>
    <t>NT928</t>
  </si>
  <si>
    <t>NT931</t>
  </si>
  <si>
    <t>NT933</t>
  </si>
  <si>
    <t>HeadNeck_64HC3-7;NC1</t>
  </si>
  <si>
    <t>NT934</t>
  </si>
  <si>
    <t>NT939</t>
  </si>
  <si>
    <t>NT941</t>
  </si>
  <si>
    <t>NT942</t>
  </si>
  <si>
    <t>0.026762489999999417</t>
  </si>
  <si>
    <t>NT945</t>
  </si>
  <si>
    <t>0.014647502000000756</t>
  </si>
  <si>
    <t>NT946</t>
  </si>
  <si>
    <t>0.021765914000001274</t>
  </si>
  <si>
    <t>NT948</t>
  </si>
  <si>
    <t>0.032648871000000135</t>
  </si>
  <si>
    <t>NT950</t>
  </si>
  <si>
    <t>NT951</t>
  </si>
  <si>
    <t>MAX</t>
  </si>
  <si>
    <t>MEDIAN</t>
  </si>
  <si>
    <t>MEAN</t>
  </si>
  <si>
    <t>abs_age_diff</t>
  </si>
  <si>
    <t>MIN</t>
  </si>
  <si>
    <t># matches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</si>
</sst>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0" borderId="0" xfId="0" applyFont="1"/>
    <xf numFmtId="2" fontId="0" fillId="0" borderId="0" xfId="0" applyNumberFormat="1"/>
    <xf numFmtId="2" fontId="0" fillId="33" borderId="0" xfId="0" applyNumberFormat="1" applyFill="1"/>
    <xf numFmtId="0" fontId="0" fillId="36" borderId="0" xfId="0" applyFill="1"/>
    <xf numFmtId="0" fontId="18" fillId="0" borderId="0" xfId="0" applyFont="1"/>
    <xf numFmtId="2" fontId="18" fillId="0" borderId="0" xfId="0" applyNumberFormat="1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</dxfs>
  <tableStyles count="0" defaultTableStyle="TableStyleMedium2" defaultPivotStyle="PivotStyleLight16"/>
  <colors>
    <mruColors>
      <color rgb="FFFFC5C5"/>
      <color rgb="FFFF8989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18B7-FE6F-4DE5-B796-A20AE80E0242}">
  <dimension ref="A1:AG94"/>
  <sheetViews>
    <sheetView workbookViewId="0">
      <selection activeCell="J33" sqref="J33"/>
    </sheetView>
  </sheetViews>
  <sheetFormatPr defaultRowHeight="14.5" x14ac:dyDescent="0.35"/>
  <cols>
    <col min="6" max="6" width="8.7265625" style="11"/>
    <col min="15" max="15" width="8.7265625" style="1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t="s">
        <v>33</v>
      </c>
      <c r="C2" t="s">
        <v>34</v>
      </c>
      <c r="D2" t="s">
        <v>35</v>
      </c>
      <c r="E2" t="s">
        <v>36</v>
      </c>
      <c r="F2" s="11">
        <v>9.1999999999999993</v>
      </c>
      <c r="J2" t="s">
        <v>34</v>
      </c>
      <c r="L2" t="s">
        <v>37</v>
      </c>
      <c r="M2" t="s">
        <v>38</v>
      </c>
      <c r="N2">
        <v>67064</v>
      </c>
      <c r="O2" s="11">
        <v>9.1999999999999993</v>
      </c>
      <c r="P2" t="s">
        <v>34</v>
      </c>
      <c r="Q2">
        <v>0</v>
      </c>
      <c r="R2" t="s">
        <v>39</v>
      </c>
      <c r="S2" t="s">
        <v>40</v>
      </c>
      <c r="T2" t="s">
        <v>41</v>
      </c>
      <c r="U2" t="s">
        <v>42</v>
      </c>
      <c r="V2">
        <v>2500</v>
      </c>
      <c r="W2">
        <v>2.9</v>
      </c>
      <c r="X2">
        <v>1070</v>
      </c>
      <c r="Y2">
        <v>8</v>
      </c>
      <c r="Z2">
        <v>240</v>
      </c>
      <c r="AA2" t="s">
        <v>43</v>
      </c>
      <c r="AB2" t="s">
        <v>44</v>
      </c>
      <c r="AC2" t="s">
        <v>45</v>
      </c>
      <c r="AD2">
        <v>1</v>
      </c>
      <c r="AE2">
        <v>1</v>
      </c>
      <c r="AG2">
        <v>1</v>
      </c>
    </row>
    <row r="3" spans="1:33" x14ac:dyDescent="0.35">
      <c r="A3" t="s">
        <v>46</v>
      </c>
      <c r="B3" t="s">
        <v>46</v>
      </c>
      <c r="C3" t="s">
        <v>34</v>
      </c>
      <c r="D3" t="s">
        <v>35</v>
      </c>
      <c r="E3" t="s">
        <v>36</v>
      </c>
      <c r="F3" s="11">
        <v>6.1</v>
      </c>
      <c r="J3" t="s">
        <v>34</v>
      </c>
      <c r="L3" t="s">
        <v>47</v>
      </c>
      <c r="M3" t="s">
        <v>38</v>
      </c>
      <c r="N3">
        <v>67064</v>
      </c>
      <c r="O3" s="11">
        <v>6.1</v>
      </c>
      <c r="P3" t="s">
        <v>34</v>
      </c>
      <c r="Q3">
        <v>0</v>
      </c>
      <c r="R3" t="s">
        <v>39</v>
      </c>
      <c r="S3" t="s">
        <v>40</v>
      </c>
      <c r="T3" t="s">
        <v>41</v>
      </c>
      <c r="U3" t="s">
        <v>42</v>
      </c>
      <c r="V3">
        <v>2500</v>
      </c>
      <c r="W3">
        <v>2.9</v>
      </c>
      <c r="X3">
        <v>1070</v>
      </c>
      <c r="Y3">
        <v>8</v>
      </c>
      <c r="Z3">
        <v>240</v>
      </c>
      <c r="AA3" t="s">
        <v>43</v>
      </c>
      <c r="AB3" t="s">
        <v>44</v>
      </c>
      <c r="AC3" t="s">
        <v>45</v>
      </c>
      <c r="AD3">
        <v>1</v>
      </c>
      <c r="AE3">
        <v>1</v>
      </c>
      <c r="AG3">
        <v>1</v>
      </c>
    </row>
    <row r="4" spans="1:33" x14ac:dyDescent="0.35">
      <c r="A4" t="s">
        <v>48</v>
      </c>
      <c r="B4" t="s">
        <v>48</v>
      </c>
      <c r="C4" t="s">
        <v>34</v>
      </c>
      <c r="D4" t="s">
        <v>35</v>
      </c>
      <c r="E4" t="s">
        <v>36</v>
      </c>
      <c r="F4" s="11">
        <v>10.6</v>
      </c>
      <c r="J4" t="s">
        <v>34</v>
      </c>
      <c r="L4" t="s">
        <v>47</v>
      </c>
      <c r="M4" t="s">
        <v>38</v>
      </c>
      <c r="N4">
        <v>67064</v>
      </c>
      <c r="O4" s="11">
        <v>10.6</v>
      </c>
      <c r="P4" t="s">
        <v>34</v>
      </c>
      <c r="Q4">
        <v>0</v>
      </c>
      <c r="R4" t="s">
        <v>39</v>
      </c>
      <c r="S4" t="s">
        <v>40</v>
      </c>
      <c r="T4" t="s">
        <v>41</v>
      </c>
      <c r="U4" t="s">
        <v>42</v>
      </c>
      <c r="V4">
        <v>2500</v>
      </c>
      <c r="W4">
        <v>2.9</v>
      </c>
      <c r="X4">
        <v>1070</v>
      </c>
      <c r="Y4">
        <v>8</v>
      </c>
      <c r="Z4">
        <v>240</v>
      </c>
      <c r="AA4" t="s">
        <v>43</v>
      </c>
      <c r="AB4" t="s">
        <v>44</v>
      </c>
      <c r="AC4" t="s">
        <v>45</v>
      </c>
      <c r="AD4">
        <v>1</v>
      </c>
      <c r="AE4">
        <v>1</v>
      </c>
      <c r="AG4">
        <v>1</v>
      </c>
    </row>
    <row r="5" spans="1:33" x14ac:dyDescent="0.35">
      <c r="A5" t="s">
        <v>49</v>
      </c>
      <c r="B5" t="s">
        <v>49</v>
      </c>
      <c r="C5" t="s">
        <v>34</v>
      </c>
      <c r="D5" t="s">
        <v>35</v>
      </c>
      <c r="E5" t="s">
        <v>36</v>
      </c>
      <c r="F5" s="11">
        <v>9.9</v>
      </c>
      <c r="J5" t="s">
        <v>34</v>
      </c>
      <c r="L5" t="s">
        <v>47</v>
      </c>
      <c r="M5" t="s">
        <v>38</v>
      </c>
      <c r="N5">
        <v>67064</v>
      </c>
      <c r="O5" s="11">
        <v>9.9</v>
      </c>
      <c r="P5" t="s">
        <v>34</v>
      </c>
      <c r="Q5">
        <v>0</v>
      </c>
      <c r="R5" t="s">
        <v>39</v>
      </c>
      <c r="S5" t="s">
        <v>40</v>
      </c>
      <c r="T5" t="s">
        <v>41</v>
      </c>
      <c r="U5" t="s">
        <v>42</v>
      </c>
      <c r="V5">
        <v>2500</v>
      </c>
      <c r="W5">
        <v>2.9</v>
      </c>
      <c r="X5">
        <v>1070</v>
      </c>
      <c r="Y5">
        <v>8</v>
      </c>
      <c r="Z5">
        <v>240</v>
      </c>
      <c r="AA5" t="s">
        <v>43</v>
      </c>
      <c r="AB5" t="s">
        <v>44</v>
      </c>
      <c r="AC5" t="s">
        <v>45</v>
      </c>
      <c r="AD5">
        <v>1</v>
      </c>
      <c r="AE5">
        <v>1</v>
      </c>
      <c r="AG5">
        <v>1</v>
      </c>
    </row>
    <row r="6" spans="1:33" x14ac:dyDescent="0.35">
      <c r="A6" t="s">
        <v>50</v>
      </c>
      <c r="B6" t="s">
        <v>50</v>
      </c>
      <c r="C6" t="s">
        <v>34</v>
      </c>
      <c r="D6" t="s">
        <v>35</v>
      </c>
      <c r="E6" t="s">
        <v>36</v>
      </c>
      <c r="F6" s="11">
        <v>10.1</v>
      </c>
      <c r="J6" t="s">
        <v>34</v>
      </c>
      <c r="L6" t="s">
        <v>47</v>
      </c>
      <c r="M6" t="s">
        <v>38</v>
      </c>
      <c r="N6">
        <v>67064</v>
      </c>
      <c r="O6" s="11">
        <v>10.1</v>
      </c>
      <c r="P6" t="s">
        <v>34</v>
      </c>
      <c r="Q6">
        <v>0</v>
      </c>
      <c r="R6" t="s">
        <v>39</v>
      </c>
      <c r="S6" t="s">
        <v>40</v>
      </c>
      <c r="T6" t="s">
        <v>41</v>
      </c>
      <c r="U6" t="s">
        <v>42</v>
      </c>
      <c r="V6">
        <v>2500</v>
      </c>
      <c r="W6">
        <v>2.9</v>
      </c>
      <c r="X6">
        <v>1070</v>
      </c>
      <c r="Y6">
        <v>8</v>
      </c>
      <c r="Z6">
        <v>240</v>
      </c>
      <c r="AA6" t="s">
        <v>43</v>
      </c>
      <c r="AB6" t="s">
        <v>44</v>
      </c>
      <c r="AC6" t="s">
        <v>45</v>
      </c>
      <c r="AD6">
        <v>1</v>
      </c>
      <c r="AE6">
        <v>1</v>
      </c>
      <c r="AG6">
        <v>1</v>
      </c>
    </row>
    <row r="7" spans="1:33" x14ac:dyDescent="0.35">
      <c r="A7" t="s">
        <v>51</v>
      </c>
      <c r="B7" t="s">
        <v>51</v>
      </c>
      <c r="C7" t="s">
        <v>34</v>
      </c>
      <c r="D7" t="s">
        <v>35</v>
      </c>
      <c r="E7" t="s">
        <v>36</v>
      </c>
      <c r="F7" s="11">
        <v>9.1999999999999993</v>
      </c>
      <c r="J7" t="s">
        <v>34</v>
      </c>
      <c r="L7" t="s">
        <v>47</v>
      </c>
      <c r="M7" t="s">
        <v>38</v>
      </c>
      <c r="N7">
        <v>67064</v>
      </c>
      <c r="O7" s="11">
        <v>9.1999999999999993</v>
      </c>
      <c r="P7" t="s">
        <v>34</v>
      </c>
      <c r="Q7">
        <v>0</v>
      </c>
      <c r="R7" t="s">
        <v>39</v>
      </c>
      <c r="S7" t="s">
        <v>40</v>
      </c>
      <c r="T7" t="s">
        <v>41</v>
      </c>
      <c r="U7" t="s">
        <v>42</v>
      </c>
      <c r="V7">
        <v>2500</v>
      </c>
      <c r="W7">
        <v>2.9</v>
      </c>
      <c r="X7">
        <v>1070</v>
      </c>
      <c r="Y7">
        <v>8</v>
      </c>
      <c r="Z7">
        <v>240</v>
      </c>
      <c r="AA7" t="s">
        <v>43</v>
      </c>
      <c r="AB7" t="s">
        <v>44</v>
      </c>
      <c r="AC7" t="s">
        <v>45</v>
      </c>
      <c r="AD7">
        <v>1</v>
      </c>
      <c r="AE7">
        <v>1</v>
      </c>
      <c r="AG7">
        <v>1</v>
      </c>
    </row>
    <row r="8" spans="1:33" x14ac:dyDescent="0.35">
      <c r="A8" t="s">
        <v>52</v>
      </c>
      <c r="B8" t="s">
        <v>52</v>
      </c>
      <c r="C8" t="s">
        <v>34</v>
      </c>
      <c r="D8" t="s">
        <v>53</v>
      </c>
      <c r="E8" t="s">
        <v>36</v>
      </c>
      <c r="F8" s="11">
        <v>9.8000000000000007</v>
      </c>
      <c r="J8" t="s">
        <v>34</v>
      </c>
      <c r="L8" t="s">
        <v>47</v>
      </c>
      <c r="M8" t="s">
        <v>38</v>
      </c>
      <c r="N8">
        <v>67064</v>
      </c>
      <c r="O8" s="11">
        <v>9.8000000000000007</v>
      </c>
      <c r="P8" t="s">
        <v>34</v>
      </c>
      <c r="Q8">
        <v>0</v>
      </c>
      <c r="R8" t="s">
        <v>39</v>
      </c>
      <c r="S8" t="s">
        <v>40</v>
      </c>
      <c r="T8" t="s">
        <v>41</v>
      </c>
      <c r="U8" t="s">
        <v>42</v>
      </c>
      <c r="V8">
        <v>2500</v>
      </c>
      <c r="W8">
        <v>2.9</v>
      </c>
      <c r="X8">
        <v>1070</v>
      </c>
      <c r="Y8">
        <v>8</v>
      </c>
      <c r="Z8">
        <v>240</v>
      </c>
      <c r="AA8" t="s">
        <v>43</v>
      </c>
      <c r="AB8" t="s">
        <v>44</v>
      </c>
      <c r="AC8" t="s">
        <v>45</v>
      </c>
      <c r="AD8">
        <v>1</v>
      </c>
      <c r="AE8">
        <v>1</v>
      </c>
      <c r="AG8">
        <v>1</v>
      </c>
    </row>
    <row r="9" spans="1:33" x14ac:dyDescent="0.35">
      <c r="A9" t="s">
        <v>54</v>
      </c>
      <c r="B9" t="s">
        <v>54</v>
      </c>
      <c r="C9" t="s">
        <v>34</v>
      </c>
      <c r="D9" t="s">
        <v>53</v>
      </c>
      <c r="E9" t="s">
        <v>36</v>
      </c>
      <c r="F9" s="11">
        <v>9.6999999999999993</v>
      </c>
      <c r="J9" t="s">
        <v>34</v>
      </c>
      <c r="L9" t="s">
        <v>47</v>
      </c>
      <c r="M9" t="s">
        <v>38</v>
      </c>
      <c r="N9">
        <v>67064</v>
      </c>
      <c r="O9" s="11">
        <v>9.6999999999999993</v>
      </c>
      <c r="P9" t="s">
        <v>34</v>
      </c>
      <c r="Q9">
        <v>0</v>
      </c>
      <c r="R9" t="s">
        <v>39</v>
      </c>
      <c r="S9" t="s">
        <v>40</v>
      </c>
      <c r="T9" t="s">
        <v>41</v>
      </c>
      <c r="U9" t="s">
        <v>42</v>
      </c>
      <c r="V9">
        <v>2500</v>
      </c>
      <c r="W9">
        <v>2.9</v>
      </c>
      <c r="X9">
        <v>1070</v>
      </c>
      <c r="Y9">
        <v>8</v>
      </c>
      <c r="Z9">
        <v>240</v>
      </c>
      <c r="AA9" t="s">
        <v>43</v>
      </c>
      <c r="AB9" t="s">
        <v>44</v>
      </c>
      <c r="AC9" t="s">
        <v>45</v>
      </c>
      <c r="AD9">
        <v>1</v>
      </c>
      <c r="AE9">
        <v>1</v>
      </c>
      <c r="AG9">
        <v>1</v>
      </c>
    </row>
    <row r="10" spans="1:33" x14ac:dyDescent="0.35">
      <c r="A10" t="s">
        <v>55</v>
      </c>
      <c r="B10" t="s">
        <v>55</v>
      </c>
      <c r="C10" t="s">
        <v>34</v>
      </c>
      <c r="D10" t="s">
        <v>53</v>
      </c>
      <c r="E10" t="s">
        <v>36</v>
      </c>
      <c r="F10" s="11">
        <v>10.1</v>
      </c>
      <c r="J10" t="s">
        <v>34</v>
      </c>
      <c r="L10" t="s">
        <v>47</v>
      </c>
      <c r="M10" t="s">
        <v>38</v>
      </c>
      <c r="N10">
        <v>67064</v>
      </c>
      <c r="O10" s="11">
        <v>10.1</v>
      </c>
      <c r="P10" t="s">
        <v>34</v>
      </c>
      <c r="Q10">
        <v>0</v>
      </c>
      <c r="R10" t="s">
        <v>39</v>
      </c>
      <c r="S10" t="s">
        <v>40</v>
      </c>
      <c r="T10" t="s">
        <v>41</v>
      </c>
      <c r="U10" t="s">
        <v>42</v>
      </c>
      <c r="V10">
        <v>2500</v>
      </c>
      <c r="W10">
        <v>2.9</v>
      </c>
      <c r="X10">
        <v>1070</v>
      </c>
      <c r="Y10">
        <v>8</v>
      </c>
      <c r="Z10">
        <v>240</v>
      </c>
      <c r="AA10" t="s">
        <v>43</v>
      </c>
      <c r="AB10" t="s">
        <v>44</v>
      </c>
      <c r="AC10" t="s">
        <v>45</v>
      </c>
      <c r="AD10">
        <v>1</v>
      </c>
      <c r="AE10">
        <v>1</v>
      </c>
      <c r="AG10">
        <v>1</v>
      </c>
    </row>
    <row r="11" spans="1:33" x14ac:dyDescent="0.35">
      <c r="A11" t="s">
        <v>56</v>
      </c>
      <c r="B11" t="s">
        <v>56</v>
      </c>
      <c r="C11" t="s">
        <v>34</v>
      </c>
      <c r="D11" t="s">
        <v>53</v>
      </c>
      <c r="E11" t="s">
        <v>36</v>
      </c>
      <c r="F11" s="11">
        <v>9.4</v>
      </c>
      <c r="J11" t="s">
        <v>34</v>
      </c>
      <c r="L11" t="s">
        <v>47</v>
      </c>
      <c r="M11" t="s">
        <v>38</v>
      </c>
      <c r="N11">
        <v>67064</v>
      </c>
      <c r="O11" s="11">
        <v>9.4</v>
      </c>
      <c r="P11" t="s">
        <v>34</v>
      </c>
      <c r="Q11">
        <v>0</v>
      </c>
      <c r="R11" t="s">
        <v>39</v>
      </c>
      <c r="S11" t="s">
        <v>40</v>
      </c>
      <c r="T11" t="s">
        <v>57</v>
      </c>
      <c r="U11" t="s">
        <v>42</v>
      </c>
      <c r="V11">
        <v>2500</v>
      </c>
      <c r="W11">
        <v>2.9</v>
      </c>
      <c r="X11">
        <v>1070</v>
      </c>
      <c r="Y11">
        <v>8</v>
      </c>
      <c r="Z11">
        <v>240</v>
      </c>
      <c r="AA11" t="s">
        <v>43</v>
      </c>
      <c r="AB11" t="s">
        <v>44</v>
      </c>
      <c r="AC11" t="s">
        <v>45</v>
      </c>
      <c r="AD11">
        <v>1</v>
      </c>
      <c r="AE11">
        <v>1</v>
      </c>
      <c r="AG11">
        <v>1</v>
      </c>
    </row>
    <row r="12" spans="1:33" x14ac:dyDescent="0.35">
      <c r="A12" t="s">
        <v>58</v>
      </c>
      <c r="B12" t="s">
        <v>58</v>
      </c>
      <c r="C12" t="s">
        <v>59</v>
      </c>
      <c r="D12" t="s">
        <v>35</v>
      </c>
      <c r="E12" t="s">
        <v>36</v>
      </c>
      <c r="F12" s="11">
        <v>6.4229979469999998</v>
      </c>
      <c r="G12">
        <v>0</v>
      </c>
      <c r="H12">
        <v>14</v>
      </c>
      <c r="I12">
        <v>53</v>
      </c>
      <c r="J12" t="s">
        <v>59</v>
      </c>
      <c r="L12" t="s">
        <v>60</v>
      </c>
      <c r="M12" t="s">
        <v>38</v>
      </c>
      <c r="N12">
        <v>67064</v>
      </c>
      <c r="O12" s="11">
        <v>6.4</v>
      </c>
      <c r="P12" t="s">
        <v>61</v>
      </c>
      <c r="Q12" s="1" t="s">
        <v>62</v>
      </c>
      <c r="R12" t="s">
        <v>63</v>
      </c>
      <c r="S12" t="s">
        <v>40</v>
      </c>
      <c r="T12" t="s">
        <v>64</v>
      </c>
      <c r="U12" t="s">
        <v>42</v>
      </c>
      <c r="V12">
        <v>2500</v>
      </c>
      <c r="W12">
        <v>2.88</v>
      </c>
      <c r="X12">
        <v>1060</v>
      </c>
      <c r="Y12">
        <v>8</v>
      </c>
      <c r="Z12">
        <v>240</v>
      </c>
      <c r="AA12" t="s">
        <v>43</v>
      </c>
      <c r="AB12" t="s">
        <v>44</v>
      </c>
      <c r="AC12" t="s">
        <v>45</v>
      </c>
      <c r="AD12">
        <v>1</v>
      </c>
      <c r="AE12">
        <v>1</v>
      </c>
      <c r="AG12">
        <v>1</v>
      </c>
    </row>
    <row r="13" spans="1:33" x14ac:dyDescent="0.35">
      <c r="A13" t="s">
        <v>65</v>
      </c>
      <c r="B13" t="s">
        <v>65</v>
      </c>
      <c r="C13" t="s">
        <v>59</v>
      </c>
      <c r="D13" t="s">
        <v>35</v>
      </c>
      <c r="E13" t="s">
        <v>36</v>
      </c>
      <c r="F13" s="11">
        <v>10.650239559999999</v>
      </c>
      <c r="G13">
        <v>10</v>
      </c>
      <c r="H13">
        <v>13</v>
      </c>
      <c r="I13">
        <v>107</v>
      </c>
      <c r="J13" t="s">
        <v>59</v>
      </c>
      <c r="L13" t="s">
        <v>60</v>
      </c>
      <c r="M13" t="s">
        <v>38</v>
      </c>
      <c r="N13">
        <v>67064</v>
      </c>
      <c r="O13" s="11">
        <v>10.7</v>
      </c>
      <c r="P13" t="s">
        <v>61</v>
      </c>
      <c r="Q13">
        <v>4.9760440000000003E-2</v>
      </c>
      <c r="R13" t="s">
        <v>63</v>
      </c>
      <c r="S13" t="s">
        <v>40</v>
      </c>
      <c r="T13" t="s">
        <v>64</v>
      </c>
      <c r="U13" t="s">
        <v>42</v>
      </c>
      <c r="V13">
        <v>2500</v>
      </c>
      <c r="W13">
        <v>2.88</v>
      </c>
      <c r="X13">
        <v>1060</v>
      </c>
      <c r="Y13">
        <v>8</v>
      </c>
      <c r="Z13">
        <v>240</v>
      </c>
      <c r="AA13" t="s">
        <v>43</v>
      </c>
      <c r="AB13" t="s">
        <v>44</v>
      </c>
      <c r="AC13" t="s">
        <v>45</v>
      </c>
      <c r="AD13">
        <v>1</v>
      </c>
      <c r="AE13">
        <v>1</v>
      </c>
      <c r="AG13">
        <v>1</v>
      </c>
    </row>
    <row r="14" spans="1:33" x14ac:dyDescent="0.35">
      <c r="A14" t="s">
        <v>66</v>
      </c>
      <c r="B14" t="s">
        <v>66</v>
      </c>
      <c r="C14" t="s">
        <v>59</v>
      </c>
      <c r="D14" t="s">
        <v>35</v>
      </c>
      <c r="E14" t="s">
        <v>36</v>
      </c>
      <c r="F14" s="11">
        <v>8.3887748119999994</v>
      </c>
      <c r="G14">
        <v>10</v>
      </c>
      <c r="H14">
        <v>19</v>
      </c>
      <c r="I14">
        <v>112</v>
      </c>
      <c r="J14" t="s">
        <v>59</v>
      </c>
      <c r="L14" t="s">
        <v>60</v>
      </c>
      <c r="M14" t="s">
        <v>38</v>
      </c>
      <c r="N14">
        <v>67064</v>
      </c>
      <c r="O14" s="11">
        <v>8.4</v>
      </c>
      <c r="P14" t="s">
        <v>61</v>
      </c>
      <c r="Q14">
        <v>1.1225188000000901E-2</v>
      </c>
      <c r="R14" t="s">
        <v>63</v>
      </c>
      <c r="S14" t="s">
        <v>40</v>
      </c>
      <c r="T14" t="s">
        <v>64</v>
      </c>
      <c r="U14" t="s">
        <v>42</v>
      </c>
      <c r="V14">
        <v>2500</v>
      </c>
      <c r="W14">
        <v>2.88</v>
      </c>
      <c r="X14">
        <v>1060</v>
      </c>
      <c r="Y14">
        <v>8</v>
      </c>
      <c r="Z14">
        <v>240</v>
      </c>
      <c r="AA14" t="s">
        <v>43</v>
      </c>
      <c r="AB14" t="s">
        <v>44</v>
      </c>
      <c r="AC14" t="s">
        <v>45</v>
      </c>
      <c r="AD14">
        <v>1</v>
      </c>
      <c r="AE14">
        <v>1</v>
      </c>
      <c r="AG14">
        <v>1</v>
      </c>
    </row>
    <row r="15" spans="1:33" x14ac:dyDescent="0.35">
      <c r="A15" t="s">
        <v>67</v>
      </c>
      <c r="B15" t="s">
        <v>67</v>
      </c>
      <c r="C15" t="s">
        <v>59</v>
      </c>
      <c r="D15" t="s">
        <v>35</v>
      </c>
      <c r="E15" t="s">
        <v>36</v>
      </c>
      <c r="F15" s="11">
        <v>10.31622177</v>
      </c>
      <c r="G15">
        <v>0</v>
      </c>
      <c r="H15">
        <v>10</v>
      </c>
      <c r="I15">
        <v>95</v>
      </c>
      <c r="J15" t="s">
        <v>59</v>
      </c>
      <c r="L15" t="s">
        <v>60</v>
      </c>
      <c r="M15" t="s">
        <v>38</v>
      </c>
      <c r="N15">
        <v>67064</v>
      </c>
      <c r="O15" s="11">
        <v>10.3</v>
      </c>
      <c r="P15" t="s">
        <v>61</v>
      </c>
      <c r="Q15">
        <v>1.62217699999995E-2</v>
      </c>
      <c r="R15" t="s">
        <v>63</v>
      </c>
      <c r="S15" t="s">
        <v>40</v>
      </c>
      <c r="T15" t="s">
        <v>41</v>
      </c>
      <c r="U15" t="s">
        <v>42</v>
      </c>
      <c r="V15">
        <v>2500</v>
      </c>
      <c r="W15">
        <v>2.9</v>
      </c>
      <c r="X15">
        <v>1070</v>
      </c>
      <c r="Y15">
        <v>8</v>
      </c>
      <c r="Z15">
        <v>240</v>
      </c>
      <c r="AA15" t="s">
        <v>43</v>
      </c>
      <c r="AB15" t="s">
        <v>44</v>
      </c>
      <c r="AC15" t="s">
        <v>45</v>
      </c>
      <c r="AD15">
        <v>1</v>
      </c>
      <c r="AE15">
        <v>1</v>
      </c>
      <c r="AG15">
        <v>1</v>
      </c>
    </row>
    <row r="16" spans="1:33" x14ac:dyDescent="0.35">
      <c r="A16" t="s">
        <v>68</v>
      </c>
      <c r="B16" t="s">
        <v>68</v>
      </c>
      <c r="C16" t="s">
        <v>59</v>
      </c>
      <c r="D16" t="s">
        <v>35</v>
      </c>
      <c r="E16" t="s">
        <v>36</v>
      </c>
      <c r="F16" s="11">
        <v>5.700205339</v>
      </c>
      <c r="G16">
        <v>0</v>
      </c>
      <c r="H16">
        <v>13</v>
      </c>
      <c r="I16">
        <v>111</v>
      </c>
      <c r="J16" t="s">
        <v>59</v>
      </c>
      <c r="L16" t="s">
        <v>60</v>
      </c>
      <c r="M16" t="s">
        <v>38</v>
      </c>
      <c r="N16">
        <v>67064</v>
      </c>
      <c r="O16" s="11">
        <v>5.7</v>
      </c>
      <c r="P16" t="s">
        <v>61</v>
      </c>
      <c r="Q16">
        <v>2.0533899999986E-4</v>
      </c>
      <c r="R16" t="s">
        <v>63</v>
      </c>
      <c r="S16" t="s">
        <v>40</v>
      </c>
      <c r="T16" t="s">
        <v>41</v>
      </c>
      <c r="U16" t="s">
        <v>42</v>
      </c>
      <c r="V16">
        <v>2500</v>
      </c>
      <c r="W16">
        <v>2.9</v>
      </c>
      <c r="X16">
        <v>1070</v>
      </c>
      <c r="Y16">
        <v>8</v>
      </c>
      <c r="Z16">
        <v>240</v>
      </c>
      <c r="AA16" t="s">
        <v>43</v>
      </c>
      <c r="AB16" t="s">
        <v>44</v>
      </c>
      <c r="AC16" t="s">
        <v>45</v>
      </c>
      <c r="AD16">
        <v>1</v>
      </c>
      <c r="AE16">
        <v>1</v>
      </c>
      <c r="AG16">
        <v>1</v>
      </c>
    </row>
    <row r="17" spans="1:33" x14ac:dyDescent="0.35">
      <c r="A17" t="s">
        <v>69</v>
      </c>
      <c r="B17" t="s">
        <v>69</v>
      </c>
      <c r="C17" t="s">
        <v>59</v>
      </c>
      <c r="D17" t="s">
        <v>35</v>
      </c>
      <c r="E17" t="s">
        <v>70</v>
      </c>
      <c r="F17" s="11">
        <v>7.2553045860000003</v>
      </c>
      <c r="G17">
        <v>0</v>
      </c>
      <c r="H17">
        <v>11</v>
      </c>
      <c r="I17">
        <v>159</v>
      </c>
      <c r="J17" t="s">
        <v>59</v>
      </c>
      <c r="L17" t="s">
        <v>60</v>
      </c>
      <c r="M17" t="s">
        <v>38</v>
      </c>
      <c r="N17">
        <v>67064</v>
      </c>
      <c r="O17" s="11">
        <v>7.3</v>
      </c>
      <c r="P17" t="s">
        <v>61</v>
      </c>
      <c r="Q17" s="1" t="s">
        <v>71</v>
      </c>
      <c r="R17" t="s">
        <v>63</v>
      </c>
      <c r="S17" t="s">
        <v>40</v>
      </c>
      <c r="T17" t="s">
        <v>41</v>
      </c>
      <c r="U17" t="s">
        <v>42</v>
      </c>
      <c r="V17">
        <v>2500</v>
      </c>
      <c r="W17">
        <v>2.9</v>
      </c>
      <c r="X17">
        <v>1070</v>
      </c>
      <c r="Y17">
        <v>8</v>
      </c>
      <c r="Z17">
        <v>240</v>
      </c>
      <c r="AA17" t="s">
        <v>43</v>
      </c>
      <c r="AB17" t="s">
        <v>44</v>
      </c>
      <c r="AC17" t="s">
        <v>45</v>
      </c>
      <c r="AD17">
        <v>1</v>
      </c>
      <c r="AE17">
        <v>1</v>
      </c>
      <c r="AG17">
        <v>1</v>
      </c>
    </row>
    <row r="18" spans="1:33" x14ac:dyDescent="0.35">
      <c r="A18" t="s">
        <v>72</v>
      </c>
      <c r="B18" t="s">
        <v>72</v>
      </c>
      <c r="C18" t="s">
        <v>59</v>
      </c>
      <c r="D18" t="s">
        <v>35</v>
      </c>
      <c r="E18" t="s">
        <v>36</v>
      </c>
      <c r="F18" s="11">
        <v>6.3490759749999999</v>
      </c>
      <c r="G18">
        <v>0</v>
      </c>
      <c r="H18">
        <v>17</v>
      </c>
      <c r="I18">
        <v>117</v>
      </c>
      <c r="J18" t="s">
        <v>59</v>
      </c>
      <c r="L18" t="s">
        <v>60</v>
      </c>
      <c r="M18" t="s">
        <v>38</v>
      </c>
      <c r="N18">
        <v>67064</v>
      </c>
      <c r="O18" s="11">
        <v>6.3</v>
      </c>
      <c r="P18" t="s">
        <v>59</v>
      </c>
      <c r="Q18">
        <v>4.9075975000000001E-2</v>
      </c>
      <c r="R18" t="s">
        <v>63</v>
      </c>
      <c r="S18" t="s">
        <v>40</v>
      </c>
      <c r="T18" t="s">
        <v>41</v>
      </c>
      <c r="U18" t="s">
        <v>42</v>
      </c>
      <c r="V18">
        <v>2500</v>
      </c>
      <c r="W18">
        <v>2.9</v>
      </c>
      <c r="X18">
        <v>1070</v>
      </c>
      <c r="Y18">
        <v>8</v>
      </c>
      <c r="Z18">
        <v>240</v>
      </c>
      <c r="AA18" t="s">
        <v>43</v>
      </c>
      <c r="AB18" t="s">
        <v>44</v>
      </c>
      <c r="AC18" t="s">
        <v>45</v>
      </c>
      <c r="AD18">
        <v>1</v>
      </c>
      <c r="AE18">
        <v>1</v>
      </c>
      <c r="AG18">
        <v>1</v>
      </c>
    </row>
    <row r="19" spans="1:33" x14ac:dyDescent="0.35">
      <c r="A19" t="s">
        <v>73</v>
      </c>
      <c r="B19" t="s">
        <v>73</v>
      </c>
      <c r="C19" t="s">
        <v>59</v>
      </c>
      <c r="D19" t="s">
        <v>53</v>
      </c>
      <c r="E19" t="s">
        <v>36</v>
      </c>
      <c r="F19" s="11">
        <v>5.6399726210000001</v>
      </c>
      <c r="G19">
        <v>10</v>
      </c>
      <c r="H19">
        <v>27</v>
      </c>
      <c r="I19">
        <v>98</v>
      </c>
      <c r="J19" t="s">
        <v>59</v>
      </c>
      <c r="L19" t="s">
        <v>60</v>
      </c>
      <c r="M19" t="s">
        <v>38</v>
      </c>
      <c r="N19">
        <v>67064</v>
      </c>
      <c r="O19" s="11">
        <v>5.6</v>
      </c>
      <c r="P19" t="s">
        <v>59</v>
      </c>
      <c r="Q19">
        <v>3.9972621000000402E-2</v>
      </c>
      <c r="R19" t="s">
        <v>63</v>
      </c>
      <c r="S19" t="s">
        <v>40</v>
      </c>
      <c r="T19" t="s">
        <v>41</v>
      </c>
      <c r="U19" t="s">
        <v>42</v>
      </c>
      <c r="V19">
        <v>2500</v>
      </c>
      <c r="W19">
        <v>2.9</v>
      </c>
      <c r="X19">
        <v>1070</v>
      </c>
      <c r="Y19">
        <v>8</v>
      </c>
      <c r="Z19">
        <v>240</v>
      </c>
      <c r="AA19" t="s">
        <v>43</v>
      </c>
      <c r="AB19" t="s">
        <v>44</v>
      </c>
      <c r="AC19" t="s">
        <v>45</v>
      </c>
      <c r="AD19">
        <v>1</v>
      </c>
      <c r="AE19">
        <v>1</v>
      </c>
      <c r="AG19">
        <v>1</v>
      </c>
    </row>
    <row r="20" spans="1:33" x14ac:dyDescent="0.35">
      <c r="A20" t="s">
        <v>74</v>
      </c>
      <c r="B20" t="s">
        <v>74</v>
      </c>
      <c r="C20" t="s">
        <v>59</v>
      </c>
      <c r="D20" t="s">
        <v>53</v>
      </c>
      <c r="E20" t="s">
        <v>36</v>
      </c>
      <c r="F20" s="11">
        <v>6.2176591380000001</v>
      </c>
      <c r="G20">
        <v>0</v>
      </c>
      <c r="H20">
        <v>7</v>
      </c>
      <c r="I20">
        <v>111</v>
      </c>
      <c r="J20" t="s">
        <v>59</v>
      </c>
      <c r="L20" t="s">
        <v>60</v>
      </c>
      <c r="M20" t="s">
        <v>38</v>
      </c>
      <c r="N20">
        <v>67064</v>
      </c>
      <c r="O20" s="11">
        <v>6.2</v>
      </c>
      <c r="P20" t="s">
        <v>59</v>
      </c>
      <c r="Q20" s="1" t="s">
        <v>75</v>
      </c>
      <c r="R20" t="s">
        <v>63</v>
      </c>
      <c r="S20" t="s">
        <v>40</v>
      </c>
      <c r="T20" t="s">
        <v>41</v>
      </c>
      <c r="U20" t="s">
        <v>42</v>
      </c>
      <c r="V20">
        <v>2500</v>
      </c>
      <c r="W20">
        <v>2.9</v>
      </c>
      <c r="X20">
        <v>1070</v>
      </c>
      <c r="Y20">
        <v>8</v>
      </c>
      <c r="Z20">
        <v>240</v>
      </c>
      <c r="AA20" t="s">
        <v>43</v>
      </c>
      <c r="AB20" t="s">
        <v>44</v>
      </c>
      <c r="AC20" t="s">
        <v>45</v>
      </c>
      <c r="AD20">
        <v>1</v>
      </c>
      <c r="AE20">
        <v>1</v>
      </c>
      <c r="AG20">
        <v>1</v>
      </c>
    </row>
    <row r="21" spans="1:33" x14ac:dyDescent="0.35">
      <c r="A21" t="s">
        <v>76</v>
      </c>
      <c r="B21" t="s">
        <v>76</v>
      </c>
      <c r="C21" t="s">
        <v>59</v>
      </c>
      <c r="D21" t="s">
        <v>35</v>
      </c>
      <c r="E21" t="s">
        <v>36</v>
      </c>
      <c r="F21" s="11">
        <v>8.6406570840000008</v>
      </c>
      <c r="G21">
        <v>5</v>
      </c>
      <c r="H21">
        <v>24</v>
      </c>
      <c r="I21">
        <v>95</v>
      </c>
      <c r="J21" t="s">
        <v>59</v>
      </c>
      <c r="L21" t="s">
        <v>60</v>
      </c>
      <c r="M21" t="s">
        <v>38</v>
      </c>
      <c r="N21">
        <v>67064</v>
      </c>
      <c r="O21" s="11">
        <v>8.6</v>
      </c>
      <c r="P21" t="s">
        <v>59</v>
      </c>
      <c r="Q21">
        <v>4.0657084000001099E-2</v>
      </c>
      <c r="R21" t="s">
        <v>63</v>
      </c>
      <c r="S21" t="s">
        <v>40</v>
      </c>
      <c r="T21" t="s">
        <v>41</v>
      </c>
      <c r="U21" t="s">
        <v>42</v>
      </c>
      <c r="V21">
        <v>2500</v>
      </c>
      <c r="W21">
        <v>2.9</v>
      </c>
      <c r="X21">
        <v>1070</v>
      </c>
      <c r="Y21">
        <v>8</v>
      </c>
      <c r="Z21">
        <v>240</v>
      </c>
      <c r="AA21" t="s">
        <v>43</v>
      </c>
      <c r="AB21" t="s">
        <v>44</v>
      </c>
      <c r="AC21" t="s">
        <v>45</v>
      </c>
      <c r="AD21">
        <v>1</v>
      </c>
      <c r="AE21">
        <v>1</v>
      </c>
      <c r="AG21">
        <v>1</v>
      </c>
    </row>
    <row r="22" spans="1:33" x14ac:dyDescent="0.35">
      <c r="A22" t="s">
        <v>77</v>
      </c>
      <c r="B22" t="s">
        <v>77</v>
      </c>
      <c r="C22" t="s">
        <v>59</v>
      </c>
      <c r="D22" t="s">
        <v>35</v>
      </c>
      <c r="E22" t="s">
        <v>70</v>
      </c>
      <c r="F22" s="11">
        <v>9.722108145</v>
      </c>
      <c r="G22">
        <v>20</v>
      </c>
      <c r="H22">
        <v>18</v>
      </c>
      <c r="I22">
        <v>112</v>
      </c>
      <c r="J22" t="s">
        <v>59</v>
      </c>
      <c r="L22" t="s">
        <v>60</v>
      </c>
      <c r="M22" t="s">
        <v>38</v>
      </c>
      <c r="N22">
        <v>67064</v>
      </c>
      <c r="O22" s="11">
        <v>9.6999999999999993</v>
      </c>
      <c r="P22" t="s">
        <v>59</v>
      </c>
      <c r="Q22">
        <v>2.2108145000000599E-2</v>
      </c>
      <c r="R22" t="s">
        <v>63</v>
      </c>
      <c r="S22" t="s">
        <v>40</v>
      </c>
      <c r="T22" t="s">
        <v>41</v>
      </c>
      <c r="U22" t="s">
        <v>42</v>
      </c>
      <c r="V22">
        <v>2500</v>
      </c>
      <c r="W22">
        <v>2.9</v>
      </c>
      <c r="X22">
        <v>1070</v>
      </c>
      <c r="Y22">
        <v>8</v>
      </c>
      <c r="Z22">
        <v>240</v>
      </c>
      <c r="AA22" t="s">
        <v>43</v>
      </c>
      <c r="AB22" t="s">
        <v>44</v>
      </c>
      <c r="AC22" t="s">
        <v>45</v>
      </c>
      <c r="AD22">
        <v>1</v>
      </c>
      <c r="AE22">
        <v>1</v>
      </c>
      <c r="AG22">
        <v>1</v>
      </c>
    </row>
    <row r="23" spans="1:33" x14ac:dyDescent="0.35">
      <c r="A23" t="s">
        <v>78</v>
      </c>
      <c r="B23" t="s">
        <v>78</v>
      </c>
      <c r="C23" t="s">
        <v>59</v>
      </c>
      <c r="D23" t="s">
        <v>53</v>
      </c>
      <c r="E23" t="s">
        <v>70</v>
      </c>
      <c r="F23" s="11">
        <v>5.6208076660000001</v>
      </c>
      <c r="G23">
        <v>5</v>
      </c>
      <c r="H23">
        <v>18</v>
      </c>
      <c r="I23">
        <v>47</v>
      </c>
      <c r="J23" t="s">
        <v>59</v>
      </c>
      <c r="L23" t="s">
        <v>60</v>
      </c>
      <c r="M23" t="s">
        <v>38</v>
      </c>
      <c r="N23">
        <v>67064</v>
      </c>
      <c r="O23" s="11">
        <v>5.6</v>
      </c>
      <c r="P23" t="s">
        <v>59</v>
      </c>
      <c r="Q23" s="1" t="s">
        <v>79</v>
      </c>
      <c r="R23" t="s">
        <v>63</v>
      </c>
      <c r="S23" t="s">
        <v>40</v>
      </c>
      <c r="T23" t="s">
        <v>41</v>
      </c>
      <c r="U23" t="s">
        <v>42</v>
      </c>
      <c r="V23">
        <v>2500</v>
      </c>
      <c r="W23">
        <v>2.9</v>
      </c>
      <c r="X23">
        <v>1070</v>
      </c>
      <c r="Y23">
        <v>8</v>
      </c>
      <c r="Z23">
        <v>240</v>
      </c>
      <c r="AA23" t="s">
        <v>43</v>
      </c>
      <c r="AB23" t="s">
        <v>44</v>
      </c>
      <c r="AC23" t="s">
        <v>45</v>
      </c>
      <c r="AD23">
        <v>1</v>
      </c>
      <c r="AE23">
        <v>1</v>
      </c>
      <c r="AG23">
        <v>1</v>
      </c>
    </row>
    <row r="24" spans="1:33" x14ac:dyDescent="0.35">
      <c r="A24" t="s">
        <v>80</v>
      </c>
      <c r="B24" t="s">
        <v>80</v>
      </c>
      <c r="C24" t="s">
        <v>59</v>
      </c>
      <c r="D24" t="s">
        <v>35</v>
      </c>
      <c r="E24" t="s">
        <v>36</v>
      </c>
      <c r="F24" s="11">
        <v>8.3915126630000003</v>
      </c>
      <c r="G24">
        <v>20</v>
      </c>
      <c r="H24">
        <v>22</v>
      </c>
      <c r="I24">
        <v>131</v>
      </c>
      <c r="J24" t="s">
        <v>59</v>
      </c>
      <c r="L24" t="s">
        <v>60</v>
      </c>
      <c r="M24" t="s">
        <v>38</v>
      </c>
      <c r="N24">
        <v>67064</v>
      </c>
      <c r="O24" s="11">
        <v>8.4</v>
      </c>
      <c r="P24" t="s">
        <v>59</v>
      </c>
      <c r="Q24">
        <v>8.4873370000000392E-3</v>
      </c>
      <c r="R24" t="s">
        <v>63</v>
      </c>
      <c r="S24" t="s">
        <v>40</v>
      </c>
      <c r="T24" t="s">
        <v>41</v>
      </c>
      <c r="U24" t="s">
        <v>42</v>
      </c>
      <c r="V24">
        <v>2500</v>
      </c>
      <c r="W24">
        <v>2.9</v>
      </c>
      <c r="X24">
        <v>1070</v>
      </c>
      <c r="Y24">
        <v>8</v>
      </c>
      <c r="Z24">
        <v>240</v>
      </c>
      <c r="AA24" t="s">
        <v>43</v>
      </c>
      <c r="AB24" t="s">
        <v>44</v>
      </c>
      <c r="AC24" t="s">
        <v>45</v>
      </c>
      <c r="AD24">
        <v>1</v>
      </c>
      <c r="AE24">
        <v>1</v>
      </c>
      <c r="AG24">
        <v>1</v>
      </c>
    </row>
    <row r="25" spans="1:33" x14ac:dyDescent="0.35">
      <c r="A25" t="s">
        <v>81</v>
      </c>
      <c r="B25" t="s">
        <v>81</v>
      </c>
      <c r="C25" t="s">
        <v>59</v>
      </c>
      <c r="D25" t="s">
        <v>35</v>
      </c>
      <c r="E25" t="s">
        <v>36</v>
      </c>
      <c r="F25" s="11">
        <v>6.4147843939999998</v>
      </c>
      <c r="G25">
        <v>20</v>
      </c>
      <c r="H25">
        <v>21</v>
      </c>
      <c r="I25">
        <v>188</v>
      </c>
      <c r="J25" t="s">
        <v>59</v>
      </c>
      <c r="L25" t="s">
        <v>60</v>
      </c>
      <c r="M25" t="s">
        <v>38</v>
      </c>
      <c r="N25">
        <v>67064</v>
      </c>
      <c r="O25" s="11">
        <v>6.4</v>
      </c>
      <c r="P25" t="s">
        <v>59</v>
      </c>
      <c r="Q25" s="1" t="s">
        <v>82</v>
      </c>
      <c r="R25" t="s">
        <v>63</v>
      </c>
      <c r="S25" t="s">
        <v>40</v>
      </c>
      <c r="T25" t="s">
        <v>41</v>
      </c>
      <c r="U25" t="s">
        <v>42</v>
      </c>
      <c r="V25">
        <v>2500</v>
      </c>
      <c r="W25">
        <v>2.9</v>
      </c>
      <c r="X25">
        <v>1070</v>
      </c>
      <c r="Y25">
        <v>8</v>
      </c>
      <c r="Z25">
        <v>240</v>
      </c>
      <c r="AA25" t="s">
        <v>43</v>
      </c>
      <c r="AB25" t="s">
        <v>44</v>
      </c>
      <c r="AC25" t="s">
        <v>45</v>
      </c>
      <c r="AD25">
        <v>1</v>
      </c>
      <c r="AE25">
        <v>1</v>
      </c>
      <c r="AG25">
        <v>1</v>
      </c>
    </row>
    <row r="26" spans="1:33" x14ac:dyDescent="0.35">
      <c r="A26" t="s">
        <v>83</v>
      </c>
      <c r="B26" t="s">
        <v>83</v>
      </c>
      <c r="C26" t="s">
        <v>59</v>
      </c>
      <c r="D26" t="s">
        <v>53</v>
      </c>
      <c r="E26" t="s">
        <v>36</v>
      </c>
      <c r="F26" s="11">
        <v>5.8918548939999997</v>
      </c>
      <c r="G26">
        <v>20</v>
      </c>
      <c r="H26">
        <v>22</v>
      </c>
      <c r="I26">
        <v>148</v>
      </c>
      <c r="J26" t="s">
        <v>59</v>
      </c>
      <c r="L26" t="s">
        <v>60</v>
      </c>
      <c r="M26" t="s">
        <v>38</v>
      </c>
      <c r="N26">
        <v>67064</v>
      </c>
      <c r="O26" s="11">
        <v>5.9</v>
      </c>
      <c r="P26" t="s">
        <v>59</v>
      </c>
      <c r="Q26">
        <v>8.1451060000006202E-3</v>
      </c>
      <c r="R26" t="s">
        <v>63</v>
      </c>
      <c r="S26" t="s">
        <v>40</v>
      </c>
      <c r="T26" t="s">
        <v>41</v>
      </c>
      <c r="U26" t="s">
        <v>42</v>
      </c>
      <c r="V26">
        <v>2500</v>
      </c>
      <c r="W26">
        <v>2.9</v>
      </c>
      <c r="X26">
        <v>1070</v>
      </c>
      <c r="Y26">
        <v>8</v>
      </c>
      <c r="Z26">
        <v>240</v>
      </c>
      <c r="AA26" t="s">
        <v>43</v>
      </c>
      <c r="AB26" t="s">
        <v>44</v>
      </c>
      <c r="AC26" t="s">
        <v>45</v>
      </c>
      <c r="AD26">
        <v>1</v>
      </c>
      <c r="AE26">
        <v>1</v>
      </c>
      <c r="AG26">
        <v>1</v>
      </c>
    </row>
    <row r="27" spans="1:33" x14ac:dyDescent="0.35">
      <c r="A27" t="s">
        <v>84</v>
      </c>
      <c r="B27" t="s">
        <v>84</v>
      </c>
      <c r="C27" t="s">
        <v>59</v>
      </c>
      <c r="D27" t="s">
        <v>35</v>
      </c>
      <c r="E27" t="s">
        <v>36</v>
      </c>
      <c r="F27" s="11">
        <v>7.7700205340000004</v>
      </c>
      <c r="G27">
        <v>5</v>
      </c>
      <c r="H27">
        <v>21</v>
      </c>
      <c r="I27">
        <v>186</v>
      </c>
      <c r="J27" t="s">
        <v>59</v>
      </c>
      <c r="L27" t="s">
        <v>60</v>
      </c>
      <c r="M27" t="s">
        <v>38</v>
      </c>
      <c r="N27">
        <v>67064</v>
      </c>
      <c r="O27" s="11">
        <v>7.8</v>
      </c>
      <c r="P27" t="s">
        <v>59</v>
      </c>
      <c r="Q27" s="1" t="s">
        <v>85</v>
      </c>
      <c r="R27" t="s">
        <v>63</v>
      </c>
      <c r="S27" t="s">
        <v>40</v>
      </c>
      <c r="T27" t="s">
        <v>41</v>
      </c>
      <c r="U27" t="s">
        <v>42</v>
      </c>
      <c r="V27">
        <v>2500</v>
      </c>
      <c r="W27">
        <v>2.9</v>
      </c>
      <c r="X27">
        <v>1070</v>
      </c>
      <c r="Y27">
        <v>8</v>
      </c>
      <c r="Z27">
        <v>240</v>
      </c>
      <c r="AA27" t="s">
        <v>43</v>
      </c>
      <c r="AB27" t="s">
        <v>44</v>
      </c>
      <c r="AC27" t="s">
        <v>45</v>
      </c>
      <c r="AD27">
        <v>1</v>
      </c>
      <c r="AE27">
        <v>1</v>
      </c>
      <c r="AG27">
        <v>1</v>
      </c>
    </row>
    <row r="28" spans="1:33" x14ac:dyDescent="0.35">
      <c r="A28" t="s">
        <v>86</v>
      </c>
      <c r="B28" t="s">
        <v>86</v>
      </c>
      <c r="C28" t="s">
        <v>59</v>
      </c>
      <c r="D28" t="s">
        <v>35</v>
      </c>
      <c r="E28" t="s">
        <v>36</v>
      </c>
      <c r="F28" s="11">
        <v>10.644763859999999</v>
      </c>
      <c r="G28">
        <v>20</v>
      </c>
      <c r="H28">
        <v>15</v>
      </c>
      <c r="I28">
        <v>253</v>
      </c>
      <c r="J28" t="s">
        <v>59</v>
      </c>
      <c r="L28" t="s">
        <v>60</v>
      </c>
      <c r="M28" t="s">
        <v>38</v>
      </c>
      <c r="N28">
        <v>67064</v>
      </c>
      <c r="O28" s="11">
        <v>10.6</v>
      </c>
      <c r="P28" t="s">
        <v>59</v>
      </c>
      <c r="Q28">
        <v>4.4763859999999697E-2</v>
      </c>
      <c r="R28" t="s">
        <v>63</v>
      </c>
      <c r="S28" t="s">
        <v>40</v>
      </c>
      <c r="T28" t="s">
        <v>41</v>
      </c>
      <c r="U28" t="s">
        <v>42</v>
      </c>
      <c r="V28">
        <v>2500</v>
      </c>
      <c r="W28">
        <v>2.9</v>
      </c>
      <c r="X28">
        <v>1070</v>
      </c>
      <c r="Y28">
        <v>8</v>
      </c>
      <c r="Z28">
        <v>240</v>
      </c>
      <c r="AA28" t="s">
        <v>43</v>
      </c>
      <c r="AB28" t="s">
        <v>44</v>
      </c>
      <c r="AC28" t="s">
        <v>45</v>
      </c>
      <c r="AD28">
        <v>1</v>
      </c>
      <c r="AE28">
        <v>1</v>
      </c>
      <c r="AG28">
        <v>1</v>
      </c>
    </row>
    <row r="29" spans="1:33" x14ac:dyDescent="0.35">
      <c r="A29" t="s">
        <v>87</v>
      </c>
      <c r="B29" t="s">
        <v>87</v>
      </c>
      <c r="C29" t="s">
        <v>59</v>
      </c>
      <c r="D29" t="s">
        <v>35</v>
      </c>
      <c r="E29" t="s">
        <v>36</v>
      </c>
      <c r="F29" s="11">
        <v>6.0451745380000004</v>
      </c>
      <c r="G29">
        <v>5</v>
      </c>
      <c r="H29">
        <v>17</v>
      </c>
      <c r="I29">
        <v>322</v>
      </c>
      <c r="J29" t="s">
        <v>59</v>
      </c>
      <c r="L29" t="s">
        <v>60</v>
      </c>
      <c r="M29" t="s">
        <v>38</v>
      </c>
      <c r="N29">
        <v>67064</v>
      </c>
      <c r="O29" s="11">
        <v>6</v>
      </c>
      <c r="P29" t="s">
        <v>59</v>
      </c>
      <c r="Q29" s="1" t="s">
        <v>88</v>
      </c>
      <c r="R29" t="s">
        <v>63</v>
      </c>
      <c r="S29" t="s">
        <v>40</v>
      </c>
      <c r="T29" t="s">
        <v>41</v>
      </c>
      <c r="U29" t="s">
        <v>42</v>
      </c>
      <c r="V29">
        <v>2500</v>
      </c>
      <c r="W29">
        <v>2.9</v>
      </c>
      <c r="X29">
        <v>1070</v>
      </c>
      <c r="Y29">
        <v>8</v>
      </c>
      <c r="Z29">
        <v>240</v>
      </c>
      <c r="AA29" t="s">
        <v>43</v>
      </c>
      <c r="AB29" t="s">
        <v>44</v>
      </c>
      <c r="AC29" t="s">
        <v>45</v>
      </c>
      <c r="AD29">
        <v>1</v>
      </c>
      <c r="AE29">
        <v>1</v>
      </c>
      <c r="AG29">
        <v>1</v>
      </c>
    </row>
    <row r="30" spans="1:33" x14ac:dyDescent="0.35">
      <c r="A30" t="s">
        <v>89</v>
      </c>
      <c r="B30" t="s">
        <v>89</v>
      </c>
      <c r="C30" t="s">
        <v>59</v>
      </c>
      <c r="D30" t="s">
        <v>53</v>
      </c>
      <c r="E30" t="s">
        <v>36</v>
      </c>
      <c r="F30" s="11">
        <v>9.4866529770000003</v>
      </c>
      <c r="G30">
        <v>0</v>
      </c>
      <c r="H30">
        <v>12</v>
      </c>
      <c r="I30">
        <v>333</v>
      </c>
      <c r="J30" t="s">
        <v>59</v>
      </c>
      <c r="L30" t="s">
        <v>60</v>
      </c>
      <c r="M30" t="s">
        <v>38</v>
      </c>
      <c r="N30">
        <v>67064</v>
      </c>
      <c r="O30" s="11">
        <v>9.5</v>
      </c>
      <c r="P30" t="s">
        <v>59</v>
      </c>
      <c r="Q30">
        <v>1.3347022999999601E-2</v>
      </c>
      <c r="R30" t="s">
        <v>63</v>
      </c>
      <c r="S30" t="s">
        <v>40</v>
      </c>
      <c r="T30" t="s">
        <v>41</v>
      </c>
      <c r="U30" t="s">
        <v>42</v>
      </c>
      <c r="V30">
        <v>2500</v>
      </c>
      <c r="W30">
        <v>2.9</v>
      </c>
      <c r="X30">
        <v>1070</v>
      </c>
      <c r="Y30">
        <v>8</v>
      </c>
      <c r="Z30">
        <v>240</v>
      </c>
      <c r="AA30" t="s">
        <v>43</v>
      </c>
      <c r="AB30" t="s">
        <v>44</v>
      </c>
      <c r="AC30" t="s">
        <v>45</v>
      </c>
      <c r="AD30">
        <v>1</v>
      </c>
      <c r="AE30">
        <v>1</v>
      </c>
      <c r="AG30">
        <v>1</v>
      </c>
    </row>
    <row r="31" spans="1:33" x14ac:dyDescent="0.35">
      <c r="A31" t="s">
        <v>90</v>
      </c>
      <c r="B31" t="s">
        <v>90</v>
      </c>
      <c r="C31" t="s">
        <v>34</v>
      </c>
      <c r="D31" t="s">
        <v>53</v>
      </c>
      <c r="E31" t="s">
        <v>36</v>
      </c>
      <c r="F31" s="11">
        <v>6.1793292270000002</v>
      </c>
      <c r="G31">
        <v>0</v>
      </c>
      <c r="H31">
        <v>0</v>
      </c>
      <c r="J31" t="s">
        <v>34</v>
      </c>
      <c r="L31" t="s">
        <v>60</v>
      </c>
      <c r="M31" t="s">
        <v>38</v>
      </c>
      <c r="N31">
        <v>67064</v>
      </c>
      <c r="O31" s="11">
        <v>6.2</v>
      </c>
      <c r="P31" t="s">
        <v>34</v>
      </c>
      <c r="Q31" s="1" t="s">
        <v>91</v>
      </c>
      <c r="R31" t="s">
        <v>39</v>
      </c>
      <c r="S31" t="s">
        <v>40</v>
      </c>
      <c r="T31" t="s">
        <v>41</v>
      </c>
      <c r="U31" t="s">
        <v>42</v>
      </c>
      <c r="V31">
        <v>2500</v>
      </c>
      <c r="W31">
        <v>2.9</v>
      </c>
      <c r="X31">
        <v>1070</v>
      </c>
      <c r="Y31">
        <v>8</v>
      </c>
      <c r="Z31">
        <v>240</v>
      </c>
      <c r="AA31" t="s">
        <v>43</v>
      </c>
      <c r="AB31" t="s">
        <v>44</v>
      </c>
      <c r="AC31" t="s">
        <v>45</v>
      </c>
      <c r="AD31">
        <v>1</v>
      </c>
      <c r="AE31">
        <v>1</v>
      </c>
      <c r="AG31">
        <v>1</v>
      </c>
    </row>
    <row r="32" spans="1:33" x14ac:dyDescent="0.35">
      <c r="A32" t="s">
        <v>92</v>
      </c>
      <c r="B32" t="s">
        <v>92</v>
      </c>
      <c r="C32" t="s">
        <v>59</v>
      </c>
      <c r="D32" t="s">
        <v>53</v>
      </c>
      <c r="E32" t="s">
        <v>36</v>
      </c>
      <c r="F32" s="11">
        <v>6.1546885690000002</v>
      </c>
      <c r="G32">
        <v>5</v>
      </c>
      <c r="H32">
        <v>21</v>
      </c>
      <c r="I32">
        <v>291</v>
      </c>
      <c r="J32" t="s">
        <v>59</v>
      </c>
      <c r="L32" t="s">
        <v>60</v>
      </c>
      <c r="M32" t="s">
        <v>38</v>
      </c>
      <c r="N32">
        <v>67064</v>
      </c>
      <c r="O32" s="11">
        <v>6.2</v>
      </c>
      <c r="P32" t="s">
        <v>59</v>
      </c>
      <c r="Q32">
        <v>4.5311430999999999E-2</v>
      </c>
      <c r="R32" t="s">
        <v>63</v>
      </c>
      <c r="S32" t="s">
        <v>40</v>
      </c>
      <c r="T32" t="s">
        <v>41</v>
      </c>
      <c r="U32" t="s">
        <v>42</v>
      </c>
      <c r="V32">
        <v>2500</v>
      </c>
      <c r="W32">
        <v>2.9</v>
      </c>
      <c r="X32">
        <v>1070</v>
      </c>
      <c r="Y32">
        <v>8</v>
      </c>
      <c r="Z32">
        <v>240</v>
      </c>
      <c r="AA32" t="s">
        <v>43</v>
      </c>
      <c r="AB32" t="s">
        <v>44</v>
      </c>
      <c r="AC32" t="s">
        <v>45</v>
      </c>
      <c r="AD32">
        <v>1</v>
      </c>
      <c r="AE32">
        <v>1</v>
      </c>
      <c r="AG32">
        <v>1</v>
      </c>
    </row>
    <row r="33" spans="1:33" x14ac:dyDescent="0.35">
      <c r="A33" t="s">
        <v>93</v>
      </c>
      <c r="B33" t="s">
        <v>93</v>
      </c>
      <c r="C33" t="s">
        <v>34</v>
      </c>
      <c r="D33" t="s">
        <v>35</v>
      </c>
      <c r="E33" t="s">
        <v>36</v>
      </c>
      <c r="F33" s="11">
        <v>7.0965092399999996</v>
      </c>
      <c r="G33">
        <v>0</v>
      </c>
      <c r="J33" t="s">
        <v>34</v>
      </c>
      <c r="L33" t="s">
        <v>60</v>
      </c>
      <c r="M33" t="s">
        <v>38</v>
      </c>
      <c r="N33">
        <v>67064</v>
      </c>
      <c r="O33" s="11">
        <v>7.1</v>
      </c>
      <c r="P33" t="s">
        <v>34</v>
      </c>
      <c r="Q33">
        <v>3.4907600000000298E-3</v>
      </c>
      <c r="R33" t="s">
        <v>39</v>
      </c>
      <c r="S33" t="s">
        <v>40</v>
      </c>
      <c r="T33" t="s">
        <v>41</v>
      </c>
      <c r="U33" t="s">
        <v>42</v>
      </c>
      <c r="V33">
        <v>2500</v>
      </c>
      <c r="W33">
        <v>2.9</v>
      </c>
      <c r="X33">
        <v>1070</v>
      </c>
      <c r="Y33">
        <v>8</v>
      </c>
      <c r="Z33">
        <v>240</v>
      </c>
      <c r="AA33" t="s">
        <v>43</v>
      </c>
      <c r="AB33" t="s">
        <v>44</v>
      </c>
      <c r="AC33" t="s">
        <v>45</v>
      </c>
      <c r="AD33">
        <v>1</v>
      </c>
      <c r="AE33">
        <v>1</v>
      </c>
      <c r="AG33">
        <v>1</v>
      </c>
    </row>
    <row r="34" spans="1:33" x14ac:dyDescent="0.35">
      <c r="A34" t="s">
        <v>94</v>
      </c>
      <c r="B34" t="s">
        <v>94</v>
      </c>
      <c r="C34" t="s">
        <v>59</v>
      </c>
      <c r="D34" t="s">
        <v>35</v>
      </c>
      <c r="E34" t="s">
        <v>36</v>
      </c>
      <c r="F34" s="11">
        <v>6.291581109</v>
      </c>
      <c r="G34">
        <v>20</v>
      </c>
      <c r="H34">
        <v>25</v>
      </c>
      <c r="I34">
        <v>151</v>
      </c>
      <c r="J34" t="s">
        <v>59</v>
      </c>
      <c r="L34" t="s">
        <v>60</v>
      </c>
      <c r="M34" t="s">
        <v>38</v>
      </c>
      <c r="N34">
        <v>67064</v>
      </c>
      <c r="O34" s="11">
        <v>6.3</v>
      </c>
      <c r="P34" t="s">
        <v>59</v>
      </c>
      <c r="Q34">
        <v>8.4188909999998104E-3</v>
      </c>
      <c r="R34" t="s">
        <v>63</v>
      </c>
      <c r="S34" t="s">
        <v>40</v>
      </c>
      <c r="T34" t="s">
        <v>41</v>
      </c>
      <c r="U34" t="s">
        <v>42</v>
      </c>
      <c r="V34">
        <v>2500</v>
      </c>
      <c r="W34">
        <v>2.9</v>
      </c>
      <c r="X34">
        <v>1070</v>
      </c>
      <c r="Y34">
        <v>8</v>
      </c>
      <c r="Z34">
        <v>240</v>
      </c>
      <c r="AA34" t="s">
        <v>43</v>
      </c>
      <c r="AB34" t="s">
        <v>44</v>
      </c>
      <c r="AC34" t="s">
        <v>45</v>
      </c>
      <c r="AD34">
        <v>1</v>
      </c>
      <c r="AE34">
        <v>1</v>
      </c>
      <c r="AG34">
        <v>1</v>
      </c>
    </row>
    <row r="35" spans="1:33" x14ac:dyDescent="0.35">
      <c r="A35" t="s">
        <v>95</v>
      </c>
      <c r="B35" t="s">
        <v>95</v>
      </c>
      <c r="C35" t="s">
        <v>59</v>
      </c>
      <c r="D35" t="s">
        <v>35</v>
      </c>
      <c r="E35" t="s">
        <v>36</v>
      </c>
      <c r="F35" s="11">
        <v>6.6447638600000003</v>
      </c>
      <c r="G35">
        <v>10</v>
      </c>
      <c r="H35">
        <v>21</v>
      </c>
      <c r="I35">
        <v>144</v>
      </c>
      <c r="J35" t="s">
        <v>59</v>
      </c>
      <c r="L35" t="s">
        <v>60</v>
      </c>
      <c r="M35" t="s">
        <v>38</v>
      </c>
      <c r="N35">
        <v>67064</v>
      </c>
      <c r="O35" s="11">
        <v>6.6</v>
      </c>
      <c r="P35" t="s">
        <v>59</v>
      </c>
      <c r="Q35" s="1" t="s">
        <v>96</v>
      </c>
      <c r="R35" t="s">
        <v>63</v>
      </c>
      <c r="S35" t="s">
        <v>40</v>
      </c>
      <c r="T35" t="s">
        <v>41</v>
      </c>
      <c r="U35" t="s">
        <v>42</v>
      </c>
      <c r="V35">
        <v>2500</v>
      </c>
      <c r="W35">
        <v>2.9</v>
      </c>
      <c r="X35">
        <v>1070</v>
      </c>
      <c r="Y35">
        <v>8</v>
      </c>
      <c r="Z35">
        <v>240</v>
      </c>
      <c r="AA35" t="s">
        <v>43</v>
      </c>
      <c r="AB35" t="s">
        <v>44</v>
      </c>
      <c r="AC35" t="s">
        <v>45</v>
      </c>
      <c r="AD35">
        <v>1</v>
      </c>
      <c r="AE35">
        <v>1</v>
      </c>
      <c r="AG35">
        <v>1</v>
      </c>
    </row>
    <row r="36" spans="1:33" x14ac:dyDescent="0.35">
      <c r="A36" t="s">
        <v>97</v>
      </c>
      <c r="B36" t="s">
        <v>97</v>
      </c>
      <c r="C36" t="s">
        <v>34</v>
      </c>
      <c r="D36" t="s">
        <v>35</v>
      </c>
      <c r="E36" t="s">
        <v>70</v>
      </c>
      <c r="F36" s="11">
        <v>9.1854893910000008</v>
      </c>
      <c r="G36">
        <v>0</v>
      </c>
      <c r="H36">
        <v>0</v>
      </c>
      <c r="J36" t="s">
        <v>34</v>
      </c>
      <c r="L36" t="s">
        <v>60</v>
      </c>
      <c r="M36" t="s">
        <v>38</v>
      </c>
      <c r="N36">
        <v>67064</v>
      </c>
      <c r="O36" s="11">
        <v>9.1999999999999993</v>
      </c>
      <c r="P36" t="s">
        <v>34</v>
      </c>
      <c r="Q36" s="1" t="s">
        <v>98</v>
      </c>
      <c r="R36" t="s">
        <v>39</v>
      </c>
      <c r="S36" t="s">
        <v>40</v>
      </c>
      <c r="T36" t="s">
        <v>41</v>
      </c>
      <c r="U36" t="s">
        <v>42</v>
      </c>
      <c r="V36">
        <v>2500</v>
      </c>
      <c r="W36">
        <v>2.9</v>
      </c>
      <c r="X36">
        <v>1070</v>
      </c>
      <c r="Y36">
        <v>8</v>
      </c>
      <c r="Z36">
        <v>240</v>
      </c>
      <c r="AA36" t="s">
        <v>43</v>
      </c>
      <c r="AB36" t="s">
        <v>44</v>
      </c>
      <c r="AC36" t="s">
        <v>45</v>
      </c>
      <c r="AD36">
        <v>1</v>
      </c>
      <c r="AE36">
        <v>1</v>
      </c>
      <c r="AG36">
        <v>1</v>
      </c>
    </row>
    <row r="37" spans="1:33" x14ac:dyDescent="0.35">
      <c r="A37" t="s">
        <v>99</v>
      </c>
      <c r="B37" t="s">
        <v>99</v>
      </c>
      <c r="C37" t="s">
        <v>59</v>
      </c>
      <c r="D37" t="s">
        <v>35</v>
      </c>
      <c r="E37" t="s">
        <v>36</v>
      </c>
      <c r="F37" s="11">
        <v>7.8959616700000002</v>
      </c>
      <c r="G37">
        <v>0</v>
      </c>
      <c r="H37">
        <v>7</v>
      </c>
      <c r="I37">
        <v>101</v>
      </c>
      <c r="J37" t="s">
        <v>59</v>
      </c>
      <c r="L37" t="s">
        <v>60</v>
      </c>
      <c r="M37" t="s">
        <v>38</v>
      </c>
      <c r="N37">
        <v>67064</v>
      </c>
      <c r="O37" s="11">
        <v>7.9</v>
      </c>
      <c r="P37" t="s">
        <v>59</v>
      </c>
      <c r="Q37">
        <v>4.0383300000002001E-3</v>
      </c>
      <c r="R37" t="s">
        <v>63</v>
      </c>
      <c r="S37" t="s">
        <v>40</v>
      </c>
      <c r="T37" t="s">
        <v>41</v>
      </c>
      <c r="U37" t="s">
        <v>42</v>
      </c>
      <c r="V37">
        <v>2500</v>
      </c>
      <c r="W37">
        <v>2.9</v>
      </c>
      <c r="X37">
        <v>1070</v>
      </c>
      <c r="Y37">
        <v>8</v>
      </c>
      <c r="Z37">
        <v>240</v>
      </c>
      <c r="AA37" t="s">
        <v>43</v>
      </c>
      <c r="AB37" t="s">
        <v>44</v>
      </c>
      <c r="AC37" t="s">
        <v>45</v>
      </c>
      <c r="AD37">
        <v>1</v>
      </c>
      <c r="AE37">
        <v>1</v>
      </c>
      <c r="AG37">
        <v>1</v>
      </c>
    </row>
    <row r="38" spans="1:33" x14ac:dyDescent="0.35">
      <c r="A38" t="s">
        <v>100</v>
      </c>
      <c r="B38" t="s">
        <v>100</v>
      </c>
      <c r="C38" t="s">
        <v>59</v>
      </c>
      <c r="D38" t="s">
        <v>35</v>
      </c>
      <c r="E38" t="s">
        <v>36</v>
      </c>
      <c r="F38" s="11">
        <v>8.7556468170000006</v>
      </c>
      <c r="G38">
        <v>0</v>
      </c>
      <c r="H38">
        <v>13</v>
      </c>
      <c r="I38">
        <v>82</v>
      </c>
      <c r="J38" t="s">
        <v>59</v>
      </c>
      <c r="L38" t="s">
        <v>60</v>
      </c>
      <c r="M38" t="s">
        <v>38</v>
      </c>
      <c r="N38">
        <v>67064</v>
      </c>
      <c r="O38" s="11">
        <v>8.8000000000000007</v>
      </c>
      <c r="P38" t="s">
        <v>59</v>
      </c>
      <c r="Q38">
        <v>4.4353183000000101E-2</v>
      </c>
      <c r="R38" t="s">
        <v>63</v>
      </c>
      <c r="S38" t="s">
        <v>40</v>
      </c>
      <c r="T38" t="s">
        <v>41</v>
      </c>
      <c r="U38" t="s">
        <v>42</v>
      </c>
      <c r="V38">
        <v>2500</v>
      </c>
      <c r="W38">
        <v>2.9</v>
      </c>
      <c r="X38">
        <v>1070</v>
      </c>
      <c r="Y38">
        <v>8</v>
      </c>
      <c r="Z38">
        <v>240</v>
      </c>
      <c r="AA38" t="s">
        <v>43</v>
      </c>
      <c r="AB38" t="s">
        <v>44</v>
      </c>
      <c r="AC38" t="s">
        <v>45</v>
      </c>
      <c r="AD38">
        <v>1</v>
      </c>
      <c r="AE38">
        <v>1</v>
      </c>
      <c r="AG38">
        <v>1</v>
      </c>
    </row>
    <row r="39" spans="1:33" x14ac:dyDescent="0.35">
      <c r="A39" t="s">
        <v>101</v>
      </c>
      <c r="B39" t="s">
        <v>101</v>
      </c>
      <c r="C39" t="s">
        <v>34</v>
      </c>
      <c r="D39" t="s">
        <v>35</v>
      </c>
      <c r="E39" t="s">
        <v>36</v>
      </c>
      <c r="F39" s="11">
        <v>6.0752908970000004</v>
      </c>
      <c r="G39">
        <v>0</v>
      </c>
      <c r="H39">
        <v>0</v>
      </c>
      <c r="J39" t="s">
        <v>34</v>
      </c>
      <c r="L39" t="s">
        <v>60</v>
      </c>
      <c r="M39" t="s">
        <v>38</v>
      </c>
      <c r="N39">
        <v>67064</v>
      </c>
      <c r="O39" s="11">
        <v>6.1</v>
      </c>
      <c r="P39" t="s">
        <v>34</v>
      </c>
      <c r="Q39">
        <v>2.4709102999999202E-2</v>
      </c>
      <c r="R39" t="s">
        <v>39</v>
      </c>
      <c r="S39" t="s">
        <v>40</v>
      </c>
      <c r="T39" t="s">
        <v>41</v>
      </c>
      <c r="U39" t="s">
        <v>42</v>
      </c>
      <c r="V39">
        <v>2500</v>
      </c>
      <c r="W39">
        <v>2.9</v>
      </c>
      <c r="X39">
        <v>1070</v>
      </c>
      <c r="Y39">
        <v>8</v>
      </c>
      <c r="Z39">
        <v>240</v>
      </c>
      <c r="AA39" t="s">
        <v>43</v>
      </c>
      <c r="AB39" t="s">
        <v>44</v>
      </c>
      <c r="AC39" t="s">
        <v>45</v>
      </c>
      <c r="AD39">
        <v>1</v>
      </c>
      <c r="AE39">
        <v>1</v>
      </c>
      <c r="AG39">
        <v>1</v>
      </c>
    </row>
    <row r="40" spans="1:33" x14ac:dyDescent="0.35">
      <c r="A40" t="s">
        <v>102</v>
      </c>
      <c r="B40" t="s">
        <v>102</v>
      </c>
      <c r="C40" t="s">
        <v>34</v>
      </c>
      <c r="D40" t="s">
        <v>35</v>
      </c>
      <c r="E40" t="s">
        <v>36</v>
      </c>
      <c r="F40" s="11">
        <v>6.9979466119999998</v>
      </c>
      <c r="G40">
        <v>0</v>
      </c>
      <c r="H40">
        <v>0</v>
      </c>
      <c r="J40" t="s">
        <v>34</v>
      </c>
      <c r="L40" t="s">
        <v>60</v>
      </c>
      <c r="M40" t="s">
        <v>38</v>
      </c>
      <c r="N40">
        <v>67064</v>
      </c>
      <c r="O40" s="11">
        <v>7</v>
      </c>
      <c r="P40" t="s">
        <v>34</v>
      </c>
      <c r="Q40">
        <v>2.0533880000002101E-3</v>
      </c>
      <c r="R40" t="s">
        <v>39</v>
      </c>
      <c r="S40" t="s">
        <v>40</v>
      </c>
      <c r="T40" t="s">
        <v>41</v>
      </c>
      <c r="U40" t="s">
        <v>42</v>
      </c>
      <c r="V40">
        <v>2500</v>
      </c>
      <c r="W40">
        <v>2.9</v>
      </c>
      <c r="X40">
        <v>1070</v>
      </c>
      <c r="Y40">
        <v>8</v>
      </c>
      <c r="Z40">
        <v>240</v>
      </c>
      <c r="AA40" t="s">
        <v>43</v>
      </c>
      <c r="AB40" t="s">
        <v>44</v>
      </c>
      <c r="AC40" t="s">
        <v>45</v>
      </c>
      <c r="AD40">
        <v>1</v>
      </c>
      <c r="AE40">
        <v>1</v>
      </c>
      <c r="AG40">
        <v>1</v>
      </c>
    </row>
    <row r="41" spans="1:33" x14ac:dyDescent="0.35">
      <c r="A41" t="s">
        <v>103</v>
      </c>
      <c r="B41" t="s">
        <v>103</v>
      </c>
      <c r="C41" t="s">
        <v>34</v>
      </c>
      <c r="D41" t="s">
        <v>35</v>
      </c>
      <c r="E41" t="s">
        <v>36</v>
      </c>
      <c r="F41" s="11">
        <v>6.5681040380000004</v>
      </c>
      <c r="G41">
        <v>0</v>
      </c>
      <c r="H41">
        <v>0</v>
      </c>
      <c r="J41" t="s">
        <v>34</v>
      </c>
      <c r="L41" t="s">
        <v>60</v>
      </c>
      <c r="M41" t="s">
        <v>38</v>
      </c>
      <c r="N41">
        <v>67064</v>
      </c>
      <c r="O41" s="11">
        <v>6.6</v>
      </c>
      <c r="P41" t="s">
        <v>34</v>
      </c>
      <c r="Q41">
        <v>3.1895961999999202E-2</v>
      </c>
      <c r="R41" t="s">
        <v>39</v>
      </c>
      <c r="S41" t="s">
        <v>40</v>
      </c>
      <c r="T41" t="s">
        <v>41</v>
      </c>
      <c r="U41" t="s">
        <v>42</v>
      </c>
      <c r="V41">
        <v>2500</v>
      </c>
      <c r="W41">
        <v>2.9</v>
      </c>
      <c r="X41">
        <v>1070</v>
      </c>
      <c r="Y41">
        <v>8</v>
      </c>
      <c r="Z41">
        <v>240</v>
      </c>
      <c r="AA41" t="s">
        <v>43</v>
      </c>
      <c r="AB41" t="s">
        <v>44</v>
      </c>
      <c r="AC41" t="s">
        <v>45</v>
      </c>
      <c r="AD41">
        <v>1</v>
      </c>
      <c r="AE41">
        <v>1</v>
      </c>
      <c r="AG41">
        <v>1</v>
      </c>
    </row>
    <row r="42" spans="1:33" x14ac:dyDescent="0.35">
      <c r="A42" t="s">
        <v>104</v>
      </c>
      <c r="B42" t="s">
        <v>104</v>
      </c>
      <c r="C42" t="s">
        <v>34</v>
      </c>
      <c r="D42" t="s">
        <v>35</v>
      </c>
      <c r="E42" t="s">
        <v>36</v>
      </c>
      <c r="F42" s="11">
        <v>9.0294318960000002</v>
      </c>
      <c r="G42">
        <v>0</v>
      </c>
      <c r="H42">
        <v>0</v>
      </c>
      <c r="J42" t="s">
        <v>34</v>
      </c>
      <c r="L42" t="s">
        <v>60</v>
      </c>
      <c r="M42" t="s">
        <v>38</v>
      </c>
      <c r="N42">
        <v>67064</v>
      </c>
      <c r="O42" s="11">
        <v>9</v>
      </c>
      <c r="P42" t="s">
        <v>34</v>
      </c>
      <c r="Q42">
        <v>2.94318960000001E-2</v>
      </c>
      <c r="R42" t="s">
        <v>39</v>
      </c>
      <c r="S42" t="s">
        <v>40</v>
      </c>
      <c r="T42" t="s">
        <v>41</v>
      </c>
      <c r="U42" t="s">
        <v>42</v>
      </c>
      <c r="V42">
        <v>2500</v>
      </c>
      <c r="W42">
        <v>2.9</v>
      </c>
      <c r="X42">
        <v>1070</v>
      </c>
      <c r="Y42">
        <v>8</v>
      </c>
      <c r="Z42">
        <v>240</v>
      </c>
      <c r="AA42" t="s">
        <v>43</v>
      </c>
      <c r="AB42" t="s">
        <v>44</v>
      </c>
      <c r="AC42" t="s">
        <v>45</v>
      </c>
      <c r="AD42">
        <v>1</v>
      </c>
      <c r="AE42">
        <v>1</v>
      </c>
      <c r="AG42">
        <v>1</v>
      </c>
    </row>
    <row r="43" spans="1:33" x14ac:dyDescent="0.35">
      <c r="A43" t="s">
        <v>105</v>
      </c>
      <c r="B43" t="s">
        <v>105</v>
      </c>
      <c r="C43" t="s">
        <v>34</v>
      </c>
      <c r="D43" t="s">
        <v>35</v>
      </c>
      <c r="E43" t="s">
        <v>36</v>
      </c>
      <c r="F43" s="11">
        <v>6.6748802190000003</v>
      </c>
      <c r="G43">
        <v>0</v>
      </c>
      <c r="H43">
        <v>0</v>
      </c>
      <c r="J43" t="s">
        <v>34</v>
      </c>
      <c r="L43" t="s">
        <v>60</v>
      </c>
      <c r="M43" t="s">
        <v>38</v>
      </c>
      <c r="N43">
        <v>67064</v>
      </c>
      <c r="O43" s="11">
        <v>6.7</v>
      </c>
      <c r="P43" t="s">
        <v>34</v>
      </c>
      <c r="Q43" s="1" t="s">
        <v>106</v>
      </c>
      <c r="R43" t="s">
        <v>39</v>
      </c>
      <c r="S43" t="s">
        <v>40</v>
      </c>
      <c r="T43" t="s">
        <v>41</v>
      </c>
      <c r="U43" t="s">
        <v>42</v>
      </c>
      <c r="V43">
        <v>2500</v>
      </c>
      <c r="W43">
        <v>2.9</v>
      </c>
      <c r="X43">
        <v>1070</v>
      </c>
      <c r="Y43">
        <v>8</v>
      </c>
      <c r="Z43">
        <v>240</v>
      </c>
      <c r="AA43" t="s">
        <v>43</v>
      </c>
      <c r="AB43" t="s">
        <v>44</v>
      </c>
      <c r="AC43" t="s">
        <v>45</v>
      </c>
      <c r="AD43">
        <v>1</v>
      </c>
      <c r="AE43">
        <v>1</v>
      </c>
      <c r="AG43">
        <v>1</v>
      </c>
    </row>
    <row r="44" spans="1:33" x14ac:dyDescent="0.35">
      <c r="A44" t="s">
        <v>107</v>
      </c>
      <c r="B44" t="s">
        <v>107</v>
      </c>
      <c r="C44" t="s">
        <v>34</v>
      </c>
      <c r="D44" t="s">
        <v>35</v>
      </c>
      <c r="E44" t="s">
        <v>36</v>
      </c>
      <c r="F44" s="11">
        <v>7.6495550989999996</v>
      </c>
      <c r="G44">
        <v>0</v>
      </c>
      <c r="H44">
        <v>0</v>
      </c>
      <c r="J44" t="s">
        <v>34</v>
      </c>
      <c r="L44" t="s">
        <v>60</v>
      </c>
      <c r="M44" t="s">
        <v>38</v>
      </c>
      <c r="N44">
        <v>67064</v>
      </c>
      <c r="O44" s="11">
        <v>7.6</v>
      </c>
      <c r="P44" t="s">
        <v>34</v>
      </c>
      <c r="Q44">
        <v>4.9555098999999901E-2</v>
      </c>
      <c r="R44" t="s">
        <v>39</v>
      </c>
      <c r="S44" t="s">
        <v>40</v>
      </c>
      <c r="T44" t="s">
        <v>41</v>
      </c>
      <c r="U44" t="s">
        <v>42</v>
      </c>
      <c r="V44">
        <v>2500</v>
      </c>
      <c r="W44">
        <v>2.9</v>
      </c>
      <c r="X44">
        <v>1070</v>
      </c>
      <c r="Y44">
        <v>8</v>
      </c>
      <c r="Z44">
        <v>240</v>
      </c>
      <c r="AA44" t="s">
        <v>43</v>
      </c>
      <c r="AB44" t="s">
        <v>44</v>
      </c>
      <c r="AC44" t="s">
        <v>45</v>
      </c>
      <c r="AD44">
        <v>1</v>
      </c>
      <c r="AE44">
        <v>1</v>
      </c>
      <c r="AG44">
        <v>1</v>
      </c>
    </row>
    <row r="45" spans="1:33" x14ac:dyDescent="0.35">
      <c r="A45" t="s">
        <v>108</v>
      </c>
      <c r="B45" t="s">
        <v>108</v>
      </c>
      <c r="C45" t="s">
        <v>59</v>
      </c>
      <c r="D45" t="s">
        <v>35</v>
      </c>
      <c r="E45" t="s">
        <v>36</v>
      </c>
      <c r="F45" s="11">
        <v>8.0821355239999999</v>
      </c>
      <c r="G45">
        <v>0</v>
      </c>
      <c r="H45">
        <v>10</v>
      </c>
      <c r="I45">
        <v>76</v>
      </c>
      <c r="J45" t="s">
        <v>59</v>
      </c>
      <c r="L45" t="s">
        <v>60</v>
      </c>
      <c r="M45" t="s">
        <v>38</v>
      </c>
      <c r="N45">
        <v>67064</v>
      </c>
      <c r="O45" s="11">
        <v>8.1</v>
      </c>
      <c r="P45" t="s">
        <v>59</v>
      </c>
      <c r="Q45">
        <v>1.7864475999999699E-2</v>
      </c>
      <c r="R45" t="s">
        <v>63</v>
      </c>
      <c r="S45" t="s">
        <v>40</v>
      </c>
      <c r="T45" t="s">
        <v>41</v>
      </c>
      <c r="U45" t="s">
        <v>42</v>
      </c>
      <c r="V45">
        <v>2500</v>
      </c>
      <c r="W45">
        <v>2.9</v>
      </c>
      <c r="X45">
        <v>1070</v>
      </c>
      <c r="Y45">
        <v>8</v>
      </c>
      <c r="Z45">
        <v>240</v>
      </c>
      <c r="AA45" t="s">
        <v>43</v>
      </c>
      <c r="AB45" t="s">
        <v>44</v>
      </c>
      <c r="AC45" t="s">
        <v>45</v>
      </c>
      <c r="AD45">
        <v>1</v>
      </c>
      <c r="AE45">
        <v>1</v>
      </c>
      <c r="AG45">
        <v>1</v>
      </c>
    </row>
    <row r="46" spans="1:33" x14ac:dyDescent="0.35">
      <c r="A46" t="s">
        <v>109</v>
      </c>
      <c r="B46" t="s">
        <v>109</v>
      </c>
      <c r="C46" t="s">
        <v>59</v>
      </c>
      <c r="D46" t="s">
        <v>35</v>
      </c>
      <c r="E46" t="s">
        <v>36</v>
      </c>
      <c r="F46" s="11">
        <v>6.1355236140000002</v>
      </c>
      <c r="G46">
        <v>0</v>
      </c>
      <c r="H46">
        <v>19</v>
      </c>
      <c r="I46">
        <v>157</v>
      </c>
      <c r="J46" t="s">
        <v>59</v>
      </c>
      <c r="L46" t="s">
        <v>60</v>
      </c>
      <c r="M46" t="s">
        <v>38</v>
      </c>
      <c r="N46">
        <v>67064</v>
      </c>
      <c r="O46" s="11">
        <v>6.1</v>
      </c>
      <c r="P46" t="s">
        <v>59</v>
      </c>
      <c r="Q46">
        <v>3.5523614000000502E-2</v>
      </c>
      <c r="R46" t="s">
        <v>63</v>
      </c>
      <c r="S46" t="s">
        <v>40</v>
      </c>
      <c r="T46" t="s">
        <v>41</v>
      </c>
      <c r="U46" t="s">
        <v>42</v>
      </c>
      <c r="V46">
        <v>2500</v>
      </c>
      <c r="W46">
        <v>2.9</v>
      </c>
      <c r="X46">
        <v>1070</v>
      </c>
      <c r="Y46">
        <v>8</v>
      </c>
      <c r="Z46">
        <v>240</v>
      </c>
      <c r="AA46" t="s">
        <v>43</v>
      </c>
      <c r="AB46" t="s">
        <v>44</v>
      </c>
      <c r="AC46" t="s">
        <v>45</v>
      </c>
      <c r="AD46">
        <v>1</v>
      </c>
      <c r="AE46">
        <v>1</v>
      </c>
      <c r="AG46">
        <v>1</v>
      </c>
    </row>
    <row r="47" spans="1:33" x14ac:dyDescent="0.35">
      <c r="A47" t="s">
        <v>110</v>
      </c>
      <c r="B47" t="s">
        <v>110</v>
      </c>
      <c r="C47" t="s">
        <v>59</v>
      </c>
      <c r="D47" t="s">
        <v>53</v>
      </c>
      <c r="E47" t="s">
        <v>36</v>
      </c>
      <c r="F47" s="11">
        <v>8.8788501029999995</v>
      </c>
      <c r="G47">
        <v>5</v>
      </c>
      <c r="H47">
        <v>10</v>
      </c>
      <c r="I47">
        <v>174</v>
      </c>
      <c r="J47" t="s">
        <v>59</v>
      </c>
      <c r="L47" t="s">
        <v>60</v>
      </c>
      <c r="M47" t="s">
        <v>38</v>
      </c>
      <c r="N47">
        <v>67064</v>
      </c>
      <c r="O47" s="11">
        <v>8.9</v>
      </c>
      <c r="P47" t="s">
        <v>59</v>
      </c>
      <c r="Q47" s="1" t="s">
        <v>111</v>
      </c>
      <c r="R47" t="s">
        <v>63</v>
      </c>
      <c r="S47" t="s">
        <v>40</v>
      </c>
      <c r="T47" t="s">
        <v>41</v>
      </c>
      <c r="U47" t="s">
        <v>42</v>
      </c>
      <c r="V47">
        <v>2500</v>
      </c>
      <c r="W47">
        <v>2.9</v>
      </c>
      <c r="X47">
        <v>1070</v>
      </c>
      <c r="Y47">
        <v>8</v>
      </c>
      <c r="Z47">
        <v>240</v>
      </c>
      <c r="AA47" t="s">
        <v>43</v>
      </c>
      <c r="AB47" t="s">
        <v>44</v>
      </c>
      <c r="AC47" t="s">
        <v>45</v>
      </c>
      <c r="AD47">
        <v>1</v>
      </c>
      <c r="AE47">
        <v>1</v>
      </c>
      <c r="AG47">
        <v>1</v>
      </c>
    </row>
    <row r="48" spans="1:33" x14ac:dyDescent="0.35">
      <c r="A48" t="s">
        <v>112</v>
      </c>
      <c r="B48" t="s">
        <v>112</v>
      </c>
      <c r="C48" t="s">
        <v>34</v>
      </c>
      <c r="D48" t="s">
        <v>35</v>
      </c>
      <c r="E48" t="s">
        <v>36</v>
      </c>
      <c r="F48" s="11">
        <v>9.3716632440000005</v>
      </c>
      <c r="G48">
        <v>0</v>
      </c>
      <c r="H48">
        <v>0</v>
      </c>
      <c r="J48" t="s">
        <v>34</v>
      </c>
      <c r="L48" t="s">
        <v>60</v>
      </c>
      <c r="M48" t="s">
        <v>38</v>
      </c>
      <c r="N48">
        <v>67064</v>
      </c>
      <c r="O48" s="11">
        <v>9.4</v>
      </c>
      <c r="P48" t="s">
        <v>34</v>
      </c>
      <c r="Q48" s="1" t="s">
        <v>113</v>
      </c>
      <c r="R48" t="s">
        <v>39</v>
      </c>
      <c r="S48" t="s">
        <v>40</v>
      </c>
      <c r="T48" t="s">
        <v>41</v>
      </c>
      <c r="U48" t="s">
        <v>42</v>
      </c>
      <c r="V48">
        <v>2500</v>
      </c>
      <c r="W48">
        <v>2.9</v>
      </c>
      <c r="X48">
        <v>1070</v>
      </c>
      <c r="Y48">
        <v>8</v>
      </c>
      <c r="Z48">
        <v>240</v>
      </c>
      <c r="AA48" t="s">
        <v>43</v>
      </c>
      <c r="AB48" t="s">
        <v>44</v>
      </c>
      <c r="AC48" t="s">
        <v>45</v>
      </c>
      <c r="AD48">
        <v>1</v>
      </c>
      <c r="AE48">
        <v>1</v>
      </c>
      <c r="AG48">
        <v>1</v>
      </c>
    </row>
    <row r="49" spans="1:33" x14ac:dyDescent="0.35">
      <c r="A49" t="s">
        <v>114</v>
      </c>
      <c r="B49" t="s">
        <v>115</v>
      </c>
      <c r="C49" t="s">
        <v>59</v>
      </c>
      <c r="D49" t="s">
        <v>53</v>
      </c>
      <c r="E49" t="s">
        <v>36</v>
      </c>
      <c r="F49" s="11">
        <v>10.23408624</v>
      </c>
      <c r="G49">
        <v>10</v>
      </c>
      <c r="H49">
        <v>16</v>
      </c>
      <c r="I49">
        <v>253</v>
      </c>
      <c r="J49" t="s">
        <v>59</v>
      </c>
      <c r="L49" t="s">
        <v>60</v>
      </c>
      <c r="M49" t="s">
        <v>38</v>
      </c>
      <c r="N49">
        <v>67064</v>
      </c>
      <c r="O49" s="11">
        <v>10.199999999999999</v>
      </c>
      <c r="P49" t="s">
        <v>59</v>
      </c>
      <c r="Q49">
        <v>3.4086240000000601E-2</v>
      </c>
      <c r="R49" t="s">
        <v>63</v>
      </c>
      <c r="S49" t="s">
        <v>40</v>
      </c>
      <c r="T49" t="s">
        <v>41</v>
      </c>
      <c r="U49" t="s">
        <v>42</v>
      </c>
      <c r="V49">
        <v>2500</v>
      </c>
      <c r="W49">
        <v>2.9</v>
      </c>
      <c r="X49">
        <v>1070</v>
      </c>
      <c r="Y49">
        <v>8</v>
      </c>
      <c r="Z49">
        <v>240</v>
      </c>
      <c r="AA49" t="s">
        <v>43</v>
      </c>
      <c r="AB49" t="s">
        <v>44</v>
      </c>
      <c r="AC49" t="s">
        <v>45</v>
      </c>
      <c r="AD49">
        <v>1</v>
      </c>
      <c r="AE49">
        <v>1</v>
      </c>
      <c r="AG49">
        <v>1</v>
      </c>
    </row>
    <row r="50" spans="1:33" x14ac:dyDescent="0.35">
      <c r="A50" t="s">
        <v>116</v>
      </c>
      <c r="B50" t="s">
        <v>116</v>
      </c>
      <c r="C50" t="s">
        <v>59</v>
      </c>
      <c r="D50" t="s">
        <v>35</v>
      </c>
      <c r="E50" t="s">
        <v>36</v>
      </c>
      <c r="F50" s="11">
        <v>9.1937029429999999</v>
      </c>
      <c r="G50">
        <v>10</v>
      </c>
      <c r="H50">
        <v>17</v>
      </c>
      <c r="I50">
        <v>245</v>
      </c>
      <c r="J50" t="s">
        <v>59</v>
      </c>
      <c r="L50" t="s">
        <v>60</v>
      </c>
      <c r="M50" t="s">
        <v>38</v>
      </c>
      <c r="N50">
        <v>67064</v>
      </c>
      <c r="O50" s="11">
        <v>9.1999999999999993</v>
      </c>
      <c r="P50" t="s">
        <v>59</v>
      </c>
      <c r="Q50">
        <v>6.2970569999993798E-3</v>
      </c>
      <c r="R50" t="s">
        <v>63</v>
      </c>
      <c r="S50" t="s">
        <v>40</v>
      </c>
      <c r="T50" t="s">
        <v>41</v>
      </c>
      <c r="U50" t="s">
        <v>42</v>
      </c>
      <c r="V50">
        <v>2500</v>
      </c>
      <c r="W50">
        <v>2.9</v>
      </c>
      <c r="X50">
        <v>1070</v>
      </c>
      <c r="Y50">
        <v>8</v>
      </c>
      <c r="Z50">
        <v>240</v>
      </c>
      <c r="AA50" t="s">
        <v>43</v>
      </c>
      <c r="AB50" t="s">
        <v>44</v>
      </c>
      <c r="AC50" t="s">
        <v>45</v>
      </c>
      <c r="AD50">
        <v>1</v>
      </c>
      <c r="AE50">
        <v>1</v>
      </c>
      <c r="AG50">
        <v>1</v>
      </c>
    </row>
    <row r="51" spans="1:33" x14ac:dyDescent="0.35">
      <c r="A51" t="s">
        <v>117</v>
      </c>
      <c r="B51" t="s">
        <v>117</v>
      </c>
      <c r="C51" t="s">
        <v>59</v>
      </c>
      <c r="D51" t="s">
        <v>35</v>
      </c>
      <c r="E51" t="s">
        <v>36</v>
      </c>
      <c r="F51" s="11">
        <v>6.2149212870000001</v>
      </c>
      <c r="G51">
        <v>0</v>
      </c>
      <c r="H51">
        <v>9</v>
      </c>
      <c r="I51">
        <v>218</v>
      </c>
      <c r="J51" t="s">
        <v>59</v>
      </c>
      <c r="L51" t="s">
        <v>60</v>
      </c>
      <c r="M51" t="s">
        <v>38</v>
      </c>
      <c r="N51">
        <v>67064</v>
      </c>
      <c r="O51" s="11">
        <v>6.2</v>
      </c>
      <c r="P51" t="s">
        <v>59</v>
      </c>
      <c r="Q51">
        <v>1.4921286999999899E-2</v>
      </c>
      <c r="R51" t="s">
        <v>63</v>
      </c>
      <c r="S51" t="s">
        <v>40</v>
      </c>
      <c r="T51" t="s">
        <v>41</v>
      </c>
      <c r="U51" t="s">
        <v>42</v>
      </c>
      <c r="V51">
        <v>2500</v>
      </c>
      <c r="W51">
        <v>2.9</v>
      </c>
      <c r="X51">
        <v>1070</v>
      </c>
      <c r="Y51">
        <v>8</v>
      </c>
      <c r="Z51">
        <v>240</v>
      </c>
      <c r="AA51" t="s">
        <v>43</v>
      </c>
      <c r="AB51" t="s">
        <v>44</v>
      </c>
      <c r="AC51" t="s">
        <v>45</v>
      </c>
      <c r="AD51">
        <v>1</v>
      </c>
      <c r="AE51">
        <v>1</v>
      </c>
      <c r="AG51">
        <v>1</v>
      </c>
    </row>
    <row r="52" spans="1:33" x14ac:dyDescent="0.35">
      <c r="A52" t="s">
        <v>118</v>
      </c>
      <c r="B52" t="s">
        <v>118</v>
      </c>
      <c r="C52" t="s">
        <v>59</v>
      </c>
      <c r="D52" t="s">
        <v>35</v>
      </c>
      <c r="E52" t="s">
        <v>36</v>
      </c>
      <c r="F52" s="11">
        <v>6.3928815879999998</v>
      </c>
      <c r="G52">
        <v>0</v>
      </c>
      <c r="H52">
        <v>16</v>
      </c>
      <c r="I52">
        <v>33</v>
      </c>
      <c r="J52" t="s">
        <v>59</v>
      </c>
      <c r="L52" t="s">
        <v>60</v>
      </c>
      <c r="M52" t="s">
        <v>38</v>
      </c>
      <c r="N52">
        <v>67064</v>
      </c>
      <c r="O52" s="11">
        <v>6.4</v>
      </c>
      <c r="P52" t="s">
        <v>59</v>
      </c>
      <c r="Q52">
        <v>7.1184120000005102E-3</v>
      </c>
      <c r="R52" t="s">
        <v>63</v>
      </c>
      <c r="S52" t="s">
        <v>40</v>
      </c>
      <c r="T52" t="s">
        <v>41</v>
      </c>
      <c r="U52" t="s">
        <v>42</v>
      </c>
      <c r="V52">
        <v>2500</v>
      </c>
      <c r="W52">
        <v>2.9</v>
      </c>
      <c r="X52">
        <v>1070</v>
      </c>
      <c r="Y52">
        <v>8</v>
      </c>
      <c r="Z52">
        <v>240</v>
      </c>
      <c r="AA52" t="s">
        <v>43</v>
      </c>
      <c r="AB52" t="s">
        <v>44</v>
      </c>
      <c r="AC52" t="s">
        <v>45</v>
      </c>
      <c r="AD52">
        <v>1</v>
      </c>
      <c r="AE52">
        <v>1</v>
      </c>
      <c r="AG52">
        <v>1</v>
      </c>
    </row>
    <row r="53" spans="1:33" x14ac:dyDescent="0.35">
      <c r="A53" t="s">
        <v>119</v>
      </c>
      <c r="B53" t="s">
        <v>119</v>
      </c>
      <c r="C53" t="s">
        <v>34</v>
      </c>
      <c r="D53" t="s">
        <v>35</v>
      </c>
      <c r="E53" t="s">
        <v>36</v>
      </c>
      <c r="F53" s="11">
        <v>10.04517454</v>
      </c>
      <c r="G53">
        <v>0</v>
      </c>
      <c r="H53">
        <v>0</v>
      </c>
      <c r="J53" t="s">
        <v>34</v>
      </c>
      <c r="L53" t="s">
        <v>60</v>
      </c>
      <c r="M53" t="s">
        <v>38</v>
      </c>
      <c r="N53">
        <v>67064</v>
      </c>
      <c r="O53" s="11">
        <v>10</v>
      </c>
      <c r="P53" t="s">
        <v>34</v>
      </c>
      <c r="Q53">
        <v>4.5174539999999597E-2</v>
      </c>
      <c r="R53" t="s">
        <v>39</v>
      </c>
      <c r="S53" t="s">
        <v>40</v>
      </c>
      <c r="T53" t="s">
        <v>41</v>
      </c>
      <c r="U53" t="s">
        <v>42</v>
      </c>
      <c r="V53">
        <v>2500</v>
      </c>
      <c r="W53">
        <v>2.9</v>
      </c>
      <c r="X53">
        <v>1070</v>
      </c>
      <c r="Y53">
        <v>8</v>
      </c>
      <c r="Z53">
        <v>240</v>
      </c>
      <c r="AA53" t="s">
        <v>43</v>
      </c>
      <c r="AB53" t="s">
        <v>44</v>
      </c>
      <c r="AC53" t="s">
        <v>45</v>
      </c>
      <c r="AD53">
        <v>1</v>
      </c>
      <c r="AE53">
        <v>1</v>
      </c>
      <c r="AG53">
        <v>1</v>
      </c>
    </row>
    <row r="54" spans="1:33" x14ac:dyDescent="0.35">
      <c r="A54" t="s">
        <v>120</v>
      </c>
      <c r="B54" t="s">
        <v>120</v>
      </c>
      <c r="C54" t="s">
        <v>59</v>
      </c>
      <c r="D54" t="s">
        <v>35</v>
      </c>
      <c r="E54" t="s">
        <v>121</v>
      </c>
      <c r="F54" s="11">
        <v>8.2080766599999997</v>
      </c>
      <c r="G54">
        <v>10</v>
      </c>
      <c r="H54">
        <v>17</v>
      </c>
      <c r="I54">
        <v>309</v>
      </c>
      <c r="J54" t="s">
        <v>59</v>
      </c>
      <c r="L54" t="s">
        <v>60</v>
      </c>
      <c r="M54" t="s">
        <v>38</v>
      </c>
      <c r="N54">
        <v>67064</v>
      </c>
      <c r="O54" s="11">
        <v>8.1999999999999993</v>
      </c>
      <c r="P54" t="s">
        <v>59</v>
      </c>
      <c r="Q54">
        <v>8.0766600000004001E-3</v>
      </c>
      <c r="R54" t="s">
        <v>63</v>
      </c>
      <c r="S54" t="s">
        <v>40</v>
      </c>
      <c r="T54" t="s">
        <v>41</v>
      </c>
      <c r="U54" t="s">
        <v>42</v>
      </c>
      <c r="V54">
        <v>2500</v>
      </c>
      <c r="W54">
        <v>2.9</v>
      </c>
      <c r="X54">
        <v>1070</v>
      </c>
      <c r="Y54">
        <v>8</v>
      </c>
      <c r="Z54">
        <v>240</v>
      </c>
      <c r="AA54" t="s">
        <v>43</v>
      </c>
      <c r="AB54" t="s">
        <v>44</v>
      </c>
      <c r="AC54" t="s">
        <v>45</v>
      </c>
      <c r="AD54">
        <v>1</v>
      </c>
      <c r="AE54">
        <v>1</v>
      </c>
      <c r="AG54">
        <v>1</v>
      </c>
    </row>
    <row r="55" spans="1:33" x14ac:dyDescent="0.35">
      <c r="A55" t="s">
        <v>122</v>
      </c>
      <c r="B55" t="s">
        <v>122</v>
      </c>
      <c r="C55" t="s">
        <v>59</v>
      </c>
      <c r="D55" t="s">
        <v>35</v>
      </c>
      <c r="E55" t="s">
        <v>36</v>
      </c>
      <c r="F55" s="11">
        <v>6.858316222</v>
      </c>
      <c r="G55">
        <v>0</v>
      </c>
      <c r="H55">
        <v>12</v>
      </c>
      <c r="I55">
        <v>360</v>
      </c>
      <c r="J55" t="s">
        <v>59</v>
      </c>
      <c r="L55" t="s">
        <v>60</v>
      </c>
      <c r="M55" t="s">
        <v>38</v>
      </c>
      <c r="N55">
        <v>67064</v>
      </c>
      <c r="O55" s="11">
        <v>6.9</v>
      </c>
      <c r="P55" t="s">
        <v>59</v>
      </c>
      <c r="Q55">
        <v>4.1683778000000303E-2</v>
      </c>
      <c r="R55" t="s">
        <v>63</v>
      </c>
      <c r="S55" t="s">
        <v>40</v>
      </c>
      <c r="T55" t="s">
        <v>41</v>
      </c>
      <c r="U55" t="s">
        <v>42</v>
      </c>
      <c r="V55">
        <v>2500</v>
      </c>
      <c r="W55">
        <v>2.9</v>
      </c>
      <c r="X55">
        <v>1070</v>
      </c>
      <c r="Y55">
        <v>8</v>
      </c>
      <c r="Z55">
        <v>240</v>
      </c>
      <c r="AA55" t="s">
        <v>43</v>
      </c>
      <c r="AB55" t="s">
        <v>44</v>
      </c>
      <c r="AC55" t="s">
        <v>45</v>
      </c>
      <c r="AD55">
        <v>1</v>
      </c>
      <c r="AE55">
        <v>1</v>
      </c>
      <c r="AG55">
        <v>1</v>
      </c>
    </row>
    <row r="56" spans="1:33" x14ac:dyDescent="0.35">
      <c r="A56" t="s">
        <v>123</v>
      </c>
      <c r="B56" t="s">
        <v>123</v>
      </c>
      <c r="C56" t="s">
        <v>59</v>
      </c>
      <c r="D56" t="s">
        <v>35</v>
      </c>
      <c r="E56" t="s">
        <v>36</v>
      </c>
      <c r="F56" s="6">
        <v>10.954141</v>
      </c>
      <c r="G56">
        <v>10</v>
      </c>
      <c r="H56">
        <v>7</v>
      </c>
      <c r="I56">
        <v>33</v>
      </c>
      <c r="J56" t="s">
        <v>59</v>
      </c>
      <c r="L56" t="s">
        <v>60</v>
      </c>
      <c r="M56" t="s">
        <v>38</v>
      </c>
      <c r="N56">
        <v>67064</v>
      </c>
      <c r="O56" s="11">
        <v>11</v>
      </c>
      <c r="P56" t="s">
        <v>59</v>
      </c>
      <c r="Q56" s="1" t="s">
        <v>124</v>
      </c>
      <c r="R56" t="s">
        <v>63</v>
      </c>
      <c r="S56" t="s">
        <v>40</v>
      </c>
      <c r="T56" t="s">
        <v>41</v>
      </c>
      <c r="U56" t="s">
        <v>42</v>
      </c>
      <c r="V56">
        <v>2500</v>
      </c>
      <c r="W56">
        <v>2.9</v>
      </c>
      <c r="X56">
        <v>1070</v>
      </c>
      <c r="Y56">
        <v>8</v>
      </c>
      <c r="Z56">
        <v>240</v>
      </c>
      <c r="AA56" t="s">
        <v>43</v>
      </c>
      <c r="AB56" t="s">
        <v>44</v>
      </c>
      <c r="AC56" t="s">
        <v>45</v>
      </c>
      <c r="AD56">
        <v>1</v>
      </c>
      <c r="AE56">
        <v>1</v>
      </c>
      <c r="AG56">
        <v>1</v>
      </c>
    </row>
    <row r="57" spans="1:33" x14ac:dyDescent="0.35">
      <c r="A57" t="s">
        <v>125</v>
      </c>
      <c r="B57" t="s">
        <v>125</v>
      </c>
      <c r="C57" t="s">
        <v>34</v>
      </c>
      <c r="D57" t="s">
        <v>53</v>
      </c>
      <c r="E57" t="s">
        <v>36</v>
      </c>
      <c r="F57" s="11">
        <v>8.2765229300000005</v>
      </c>
      <c r="G57">
        <v>0</v>
      </c>
      <c r="H57">
        <v>0</v>
      </c>
      <c r="J57" t="s">
        <v>34</v>
      </c>
      <c r="L57" t="s">
        <v>60</v>
      </c>
      <c r="M57" t="s">
        <v>38</v>
      </c>
      <c r="N57">
        <v>67064</v>
      </c>
      <c r="O57" s="11">
        <v>8.3000000000000007</v>
      </c>
      <c r="P57" t="s">
        <v>34</v>
      </c>
      <c r="Q57">
        <v>2.34770700000002E-2</v>
      </c>
      <c r="R57" t="s">
        <v>39</v>
      </c>
      <c r="S57" t="s">
        <v>40</v>
      </c>
      <c r="T57" t="s">
        <v>41</v>
      </c>
      <c r="U57" t="s">
        <v>42</v>
      </c>
      <c r="V57">
        <v>2500</v>
      </c>
      <c r="W57">
        <v>2.9</v>
      </c>
      <c r="X57">
        <v>1070</v>
      </c>
      <c r="Y57">
        <v>8</v>
      </c>
      <c r="Z57">
        <v>240</v>
      </c>
      <c r="AA57" t="s">
        <v>43</v>
      </c>
      <c r="AB57" t="s">
        <v>44</v>
      </c>
      <c r="AC57" t="s">
        <v>45</v>
      </c>
      <c r="AD57">
        <v>1</v>
      </c>
      <c r="AE57">
        <v>1</v>
      </c>
      <c r="AG57">
        <v>1</v>
      </c>
    </row>
    <row r="58" spans="1:33" x14ac:dyDescent="0.35">
      <c r="A58" t="s">
        <v>126</v>
      </c>
      <c r="B58" t="s">
        <v>126</v>
      </c>
      <c r="C58" t="s">
        <v>59</v>
      </c>
      <c r="D58" t="s">
        <v>35</v>
      </c>
      <c r="E58" t="s">
        <v>36</v>
      </c>
      <c r="F58" s="11">
        <v>8.0739219710000008</v>
      </c>
      <c r="G58">
        <v>0</v>
      </c>
      <c r="H58">
        <v>12</v>
      </c>
      <c r="I58">
        <v>144</v>
      </c>
      <c r="J58" t="s">
        <v>59</v>
      </c>
      <c r="L58" t="s">
        <v>60</v>
      </c>
      <c r="M58" t="s">
        <v>38</v>
      </c>
      <c r="N58">
        <v>67064</v>
      </c>
      <c r="O58" s="11">
        <v>8.1</v>
      </c>
      <c r="P58" t="s">
        <v>59</v>
      </c>
      <c r="Q58" s="1" t="s">
        <v>127</v>
      </c>
      <c r="R58" t="s">
        <v>63</v>
      </c>
      <c r="S58" t="s">
        <v>40</v>
      </c>
      <c r="T58" t="s">
        <v>41</v>
      </c>
      <c r="U58" t="s">
        <v>42</v>
      </c>
      <c r="V58">
        <v>2500</v>
      </c>
      <c r="W58">
        <v>2.9</v>
      </c>
      <c r="X58">
        <v>1070</v>
      </c>
      <c r="Y58">
        <v>8</v>
      </c>
      <c r="Z58">
        <v>240</v>
      </c>
      <c r="AA58" t="s">
        <v>43</v>
      </c>
      <c r="AB58" t="s">
        <v>44</v>
      </c>
      <c r="AC58" t="s">
        <v>45</v>
      </c>
      <c r="AD58">
        <v>1</v>
      </c>
      <c r="AE58">
        <v>1</v>
      </c>
      <c r="AG58">
        <v>1</v>
      </c>
    </row>
    <row r="59" spans="1:33" x14ac:dyDescent="0.35">
      <c r="A59" t="s">
        <v>128</v>
      </c>
      <c r="B59" t="s">
        <v>128</v>
      </c>
      <c r="C59" t="s">
        <v>59</v>
      </c>
      <c r="D59" t="s">
        <v>53</v>
      </c>
      <c r="E59" t="s">
        <v>36</v>
      </c>
      <c r="F59" s="11">
        <v>9.1362080769999992</v>
      </c>
      <c r="G59">
        <v>0</v>
      </c>
      <c r="H59">
        <v>24</v>
      </c>
      <c r="I59">
        <v>227</v>
      </c>
      <c r="J59" t="s">
        <v>59</v>
      </c>
      <c r="L59" t="s">
        <v>60</v>
      </c>
      <c r="M59" t="s">
        <v>38</v>
      </c>
      <c r="N59">
        <v>67064</v>
      </c>
      <c r="O59" s="11">
        <v>9.1</v>
      </c>
      <c r="P59" t="s">
        <v>59</v>
      </c>
      <c r="Q59" s="1" t="s">
        <v>129</v>
      </c>
      <c r="R59" t="s">
        <v>63</v>
      </c>
      <c r="S59" t="s">
        <v>40</v>
      </c>
      <c r="T59" t="s">
        <v>41</v>
      </c>
      <c r="U59" t="s">
        <v>42</v>
      </c>
      <c r="V59">
        <v>2500</v>
      </c>
      <c r="W59">
        <v>2.9</v>
      </c>
      <c r="X59">
        <v>1070</v>
      </c>
      <c r="Y59">
        <v>8</v>
      </c>
      <c r="Z59">
        <v>240</v>
      </c>
      <c r="AA59" t="s">
        <v>43</v>
      </c>
      <c r="AB59" t="s">
        <v>44</v>
      </c>
      <c r="AC59" t="s">
        <v>45</v>
      </c>
      <c r="AD59">
        <v>1</v>
      </c>
      <c r="AE59">
        <v>1</v>
      </c>
      <c r="AG59">
        <v>1</v>
      </c>
    </row>
    <row r="60" spans="1:33" x14ac:dyDescent="0.35">
      <c r="A60" t="s">
        <v>130</v>
      </c>
      <c r="B60" t="s">
        <v>130</v>
      </c>
      <c r="C60" t="s">
        <v>34</v>
      </c>
      <c r="D60" t="s">
        <v>35</v>
      </c>
      <c r="E60" t="s">
        <v>36</v>
      </c>
      <c r="F60" s="11">
        <v>10.72416153</v>
      </c>
      <c r="G60">
        <v>0</v>
      </c>
      <c r="H60">
        <v>0</v>
      </c>
      <c r="J60" t="s">
        <v>34</v>
      </c>
      <c r="L60" t="s">
        <v>60</v>
      </c>
      <c r="M60" t="s">
        <v>38</v>
      </c>
      <c r="N60">
        <v>67064</v>
      </c>
      <c r="O60" s="11">
        <v>10.7</v>
      </c>
      <c r="P60" t="s">
        <v>34</v>
      </c>
      <c r="Q60" s="1" t="s">
        <v>131</v>
      </c>
      <c r="R60" t="s">
        <v>39</v>
      </c>
      <c r="S60" t="s">
        <v>40</v>
      </c>
      <c r="T60" t="s">
        <v>41</v>
      </c>
      <c r="U60" t="s">
        <v>42</v>
      </c>
      <c r="V60">
        <v>2500</v>
      </c>
      <c r="W60">
        <v>2.9</v>
      </c>
      <c r="X60">
        <v>1070</v>
      </c>
      <c r="Y60">
        <v>8</v>
      </c>
      <c r="Z60">
        <v>240</v>
      </c>
      <c r="AA60" t="s">
        <v>43</v>
      </c>
      <c r="AB60" t="s">
        <v>44</v>
      </c>
      <c r="AC60" t="s">
        <v>45</v>
      </c>
      <c r="AD60">
        <v>1</v>
      </c>
      <c r="AE60">
        <v>1</v>
      </c>
      <c r="AG60">
        <v>1</v>
      </c>
    </row>
    <row r="61" spans="1:33" x14ac:dyDescent="0.35">
      <c r="A61" t="s">
        <v>132</v>
      </c>
      <c r="B61" t="s">
        <v>132</v>
      </c>
      <c r="C61" t="s">
        <v>34</v>
      </c>
      <c r="D61" t="s">
        <v>53</v>
      </c>
      <c r="E61" t="s">
        <v>36</v>
      </c>
      <c r="F61" s="11">
        <v>9.2128678990000008</v>
      </c>
      <c r="G61">
        <v>0</v>
      </c>
      <c r="H61">
        <v>0</v>
      </c>
      <c r="J61" t="s">
        <v>34</v>
      </c>
      <c r="L61" t="s">
        <v>60</v>
      </c>
      <c r="M61" t="s">
        <v>38</v>
      </c>
      <c r="N61">
        <v>67064</v>
      </c>
      <c r="O61" s="11">
        <v>9.1999999999999993</v>
      </c>
      <c r="P61" t="s">
        <v>34</v>
      </c>
      <c r="Q61" s="1" t="s">
        <v>133</v>
      </c>
      <c r="R61" t="s">
        <v>39</v>
      </c>
      <c r="S61" t="s">
        <v>40</v>
      </c>
      <c r="T61" t="s">
        <v>64</v>
      </c>
      <c r="U61" t="s">
        <v>42</v>
      </c>
      <c r="V61">
        <v>2500</v>
      </c>
      <c r="W61">
        <v>2.9</v>
      </c>
      <c r="X61">
        <v>1070</v>
      </c>
      <c r="Y61">
        <v>8</v>
      </c>
      <c r="Z61">
        <v>240</v>
      </c>
      <c r="AA61" t="s">
        <v>43</v>
      </c>
      <c r="AB61" t="s">
        <v>44</v>
      </c>
      <c r="AC61" t="s">
        <v>45</v>
      </c>
      <c r="AD61">
        <v>1</v>
      </c>
      <c r="AE61">
        <v>1</v>
      </c>
      <c r="AG61">
        <v>1</v>
      </c>
    </row>
    <row r="62" spans="1:33" x14ac:dyDescent="0.35">
      <c r="A62" t="s">
        <v>134</v>
      </c>
      <c r="B62" t="s">
        <v>134</v>
      </c>
      <c r="C62" t="s">
        <v>34</v>
      </c>
      <c r="D62" t="s">
        <v>35</v>
      </c>
      <c r="E62" t="s">
        <v>36</v>
      </c>
      <c r="F62" s="11">
        <v>6.7515400410000002</v>
      </c>
      <c r="G62">
        <v>0</v>
      </c>
      <c r="H62">
        <v>0</v>
      </c>
      <c r="J62" t="s">
        <v>34</v>
      </c>
      <c r="L62" t="s">
        <v>60</v>
      </c>
      <c r="M62" t="s">
        <v>38</v>
      </c>
      <c r="N62">
        <v>67064</v>
      </c>
      <c r="O62" s="11">
        <v>6.8</v>
      </c>
      <c r="P62" t="s">
        <v>34</v>
      </c>
      <c r="Q62" s="1" t="s">
        <v>135</v>
      </c>
      <c r="R62" t="s">
        <v>39</v>
      </c>
      <c r="S62" t="s">
        <v>40</v>
      </c>
      <c r="T62" t="s">
        <v>41</v>
      </c>
      <c r="U62" t="s">
        <v>42</v>
      </c>
      <c r="V62">
        <v>2500</v>
      </c>
      <c r="W62">
        <v>2.9</v>
      </c>
      <c r="X62">
        <v>1070</v>
      </c>
      <c r="Y62">
        <v>8</v>
      </c>
      <c r="Z62">
        <v>240</v>
      </c>
      <c r="AA62" t="s">
        <v>43</v>
      </c>
      <c r="AB62" t="s">
        <v>44</v>
      </c>
      <c r="AC62" t="s">
        <v>45</v>
      </c>
      <c r="AD62">
        <v>1</v>
      </c>
      <c r="AE62">
        <v>1</v>
      </c>
      <c r="AG62">
        <v>1</v>
      </c>
    </row>
    <row r="63" spans="1:33" x14ac:dyDescent="0.35">
      <c r="A63" t="s">
        <v>136</v>
      </c>
      <c r="B63" t="s">
        <v>136</v>
      </c>
      <c r="C63" t="s">
        <v>34</v>
      </c>
      <c r="D63" t="s">
        <v>35</v>
      </c>
      <c r="E63" t="s">
        <v>36</v>
      </c>
      <c r="F63" s="11">
        <v>8.8870636550000004</v>
      </c>
      <c r="G63">
        <v>0</v>
      </c>
      <c r="H63">
        <v>0</v>
      </c>
      <c r="J63" t="s">
        <v>34</v>
      </c>
      <c r="L63" t="s">
        <v>60</v>
      </c>
      <c r="M63" t="s">
        <v>38</v>
      </c>
      <c r="N63">
        <v>67064</v>
      </c>
      <c r="O63" s="11">
        <v>8.9</v>
      </c>
      <c r="P63" t="s">
        <v>34</v>
      </c>
      <c r="Q63">
        <v>1.29363449999999E-2</v>
      </c>
      <c r="R63" t="s">
        <v>39</v>
      </c>
      <c r="S63" t="s">
        <v>40</v>
      </c>
      <c r="T63" t="s">
        <v>41</v>
      </c>
      <c r="U63" t="s">
        <v>42</v>
      </c>
      <c r="V63">
        <v>2500</v>
      </c>
      <c r="W63">
        <v>2.9</v>
      </c>
      <c r="X63">
        <v>1070</v>
      </c>
      <c r="Y63">
        <v>8</v>
      </c>
      <c r="Z63">
        <v>240</v>
      </c>
      <c r="AA63" t="s">
        <v>43</v>
      </c>
      <c r="AB63" t="s">
        <v>44</v>
      </c>
      <c r="AC63" t="s">
        <v>45</v>
      </c>
      <c r="AD63">
        <v>1</v>
      </c>
      <c r="AE63">
        <v>1</v>
      </c>
      <c r="AG63">
        <v>1</v>
      </c>
    </row>
    <row r="64" spans="1:33" x14ac:dyDescent="0.35">
      <c r="A64" t="s">
        <v>137</v>
      </c>
      <c r="B64" t="s">
        <v>137</v>
      </c>
      <c r="C64" t="s">
        <v>59</v>
      </c>
      <c r="D64" t="s">
        <v>35</v>
      </c>
      <c r="E64" t="s">
        <v>70</v>
      </c>
      <c r="F64" s="11">
        <v>8.7720739220000006</v>
      </c>
      <c r="G64">
        <v>0</v>
      </c>
      <c r="H64">
        <v>17</v>
      </c>
      <c r="I64">
        <v>75</v>
      </c>
      <c r="J64" t="s">
        <v>59</v>
      </c>
      <c r="L64" t="s">
        <v>60</v>
      </c>
      <c r="M64" t="s">
        <v>38</v>
      </c>
      <c r="N64">
        <v>67064</v>
      </c>
      <c r="O64" s="11">
        <v>8.8000000000000007</v>
      </c>
      <c r="P64" t="s">
        <v>59</v>
      </c>
      <c r="Q64" s="1" t="s">
        <v>138</v>
      </c>
      <c r="R64" t="s">
        <v>63</v>
      </c>
      <c r="S64" t="s">
        <v>40</v>
      </c>
      <c r="T64" t="s">
        <v>41</v>
      </c>
      <c r="U64" t="s">
        <v>42</v>
      </c>
      <c r="V64">
        <v>2500</v>
      </c>
      <c r="W64">
        <v>2.9</v>
      </c>
      <c r="X64">
        <v>1070</v>
      </c>
      <c r="Y64">
        <v>8</v>
      </c>
      <c r="Z64">
        <v>240</v>
      </c>
      <c r="AA64" t="s">
        <v>43</v>
      </c>
      <c r="AB64" t="s">
        <v>44</v>
      </c>
      <c r="AC64" t="s">
        <v>45</v>
      </c>
      <c r="AD64">
        <v>1</v>
      </c>
      <c r="AE64">
        <v>1</v>
      </c>
      <c r="AG64">
        <v>1</v>
      </c>
    </row>
    <row r="65" spans="1:33" x14ac:dyDescent="0.35">
      <c r="A65" t="s">
        <v>139</v>
      </c>
      <c r="B65" t="s">
        <v>139</v>
      </c>
      <c r="C65" t="s">
        <v>34</v>
      </c>
      <c r="D65" t="s">
        <v>53</v>
      </c>
      <c r="E65" t="s">
        <v>70</v>
      </c>
      <c r="F65" s="11">
        <v>6.0506502400000004</v>
      </c>
      <c r="G65">
        <v>0</v>
      </c>
      <c r="H65">
        <v>0</v>
      </c>
      <c r="J65" t="s">
        <v>34</v>
      </c>
      <c r="L65" t="s">
        <v>60</v>
      </c>
      <c r="M65" t="s">
        <v>38</v>
      </c>
      <c r="N65">
        <v>67064</v>
      </c>
      <c r="O65" s="11">
        <v>6.1</v>
      </c>
      <c r="P65" t="s">
        <v>34</v>
      </c>
      <c r="Q65">
        <v>4.9349759999999201E-2</v>
      </c>
      <c r="R65" t="s">
        <v>39</v>
      </c>
      <c r="S65" t="s">
        <v>40</v>
      </c>
      <c r="T65" t="s">
        <v>41</v>
      </c>
      <c r="U65" t="s">
        <v>42</v>
      </c>
      <c r="V65">
        <v>2500</v>
      </c>
      <c r="W65">
        <v>2.9</v>
      </c>
      <c r="X65">
        <v>1070</v>
      </c>
      <c r="Y65">
        <v>8</v>
      </c>
      <c r="Z65">
        <v>240</v>
      </c>
      <c r="AA65" t="s">
        <v>43</v>
      </c>
      <c r="AB65" t="s">
        <v>44</v>
      </c>
      <c r="AC65" t="s">
        <v>45</v>
      </c>
      <c r="AD65">
        <v>1</v>
      </c>
      <c r="AE65">
        <v>1</v>
      </c>
      <c r="AG65">
        <v>1</v>
      </c>
    </row>
    <row r="66" spans="1:33" x14ac:dyDescent="0.35">
      <c r="A66" t="s">
        <v>140</v>
      </c>
      <c r="B66" t="s">
        <v>140</v>
      </c>
      <c r="C66" t="s">
        <v>34</v>
      </c>
      <c r="D66" t="s">
        <v>35</v>
      </c>
      <c r="E66" t="s">
        <v>36</v>
      </c>
      <c r="F66" s="11">
        <v>8.3422313480000003</v>
      </c>
      <c r="G66">
        <v>0</v>
      </c>
      <c r="H66">
        <v>0</v>
      </c>
      <c r="J66" t="s">
        <v>34</v>
      </c>
      <c r="L66" t="s">
        <v>60</v>
      </c>
      <c r="M66" t="s">
        <v>38</v>
      </c>
      <c r="N66">
        <v>67064</v>
      </c>
      <c r="O66" s="11">
        <v>8.3000000000000007</v>
      </c>
      <c r="P66" t="s">
        <v>34</v>
      </c>
      <c r="Q66">
        <v>4.2231347999999599E-2</v>
      </c>
      <c r="R66" t="s">
        <v>39</v>
      </c>
      <c r="S66" t="s">
        <v>40</v>
      </c>
      <c r="T66" t="s">
        <v>41</v>
      </c>
      <c r="U66" t="s">
        <v>42</v>
      </c>
      <c r="V66">
        <v>2500</v>
      </c>
      <c r="W66">
        <v>2.9</v>
      </c>
      <c r="X66">
        <v>1070</v>
      </c>
      <c r="Y66">
        <v>8</v>
      </c>
      <c r="Z66">
        <v>240</v>
      </c>
      <c r="AA66" t="s">
        <v>43</v>
      </c>
      <c r="AB66" t="s">
        <v>44</v>
      </c>
      <c r="AC66" t="s">
        <v>45</v>
      </c>
      <c r="AD66">
        <v>1</v>
      </c>
      <c r="AE66">
        <v>1</v>
      </c>
      <c r="AG66">
        <v>1</v>
      </c>
    </row>
    <row r="67" spans="1:33" x14ac:dyDescent="0.35">
      <c r="A67" t="s">
        <v>141</v>
      </c>
      <c r="B67" t="s">
        <v>141</v>
      </c>
      <c r="C67" t="s">
        <v>59</v>
      </c>
      <c r="D67" t="s">
        <v>35</v>
      </c>
      <c r="E67" t="s">
        <v>36</v>
      </c>
      <c r="F67" s="11">
        <v>7.6057494869999998</v>
      </c>
      <c r="G67">
        <v>0</v>
      </c>
      <c r="H67">
        <v>12</v>
      </c>
      <c r="I67">
        <v>107</v>
      </c>
      <c r="J67" t="s">
        <v>59</v>
      </c>
      <c r="L67" t="s">
        <v>60</v>
      </c>
      <c r="M67" t="s">
        <v>38</v>
      </c>
      <c r="N67">
        <v>67064</v>
      </c>
      <c r="O67" s="11">
        <v>7.6</v>
      </c>
      <c r="P67" t="s">
        <v>59</v>
      </c>
      <c r="Q67">
        <v>5.7494870000000999E-3</v>
      </c>
      <c r="R67" t="s">
        <v>63</v>
      </c>
      <c r="S67" t="s">
        <v>40</v>
      </c>
      <c r="T67" t="s">
        <v>41</v>
      </c>
      <c r="U67" t="s">
        <v>42</v>
      </c>
      <c r="V67">
        <v>2500</v>
      </c>
      <c r="W67">
        <v>2.9</v>
      </c>
      <c r="X67">
        <v>1070</v>
      </c>
      <c r="Y67">
        <v>8</v>
      </c>
      <c r="Z67">
        <v>240</v>
      </c>
      <c r="AA67" t="s">
        <v>43</v>
      </c>
      <c r="AB67" t="s">
        <v>44</v>
      </c>
      <c r="AC67" t="s">
        <v>45</v>
      </c>
      <c r="AD67">
        <v>1</v>
      </c>
      <c r="AE67">
        <v>1</v>
      </c>
      <c r="AG67">
        <v>1</v>
      </c>
    </row>
    <row r="68" spans="1:33" x14ac:dyDescent="0.35">
      <c r="A68" t="s">
        <v>142</v>
      </c>
      <c r="B68" t="s">
        <v>142</v>
      </c>
      <c r="C68" t="s">
        <v>59</v>
      </c>
      <c r="D68" t="s">
        <v>35</v>
      </c>
      <c r="E68" t="s">
        <v>36</v>
      </c>
      <c r="F68" s="11">
        <v>5.7768651609999999</v>
      </c>
      <c r="G68">
        <v>0</v>
      </c>
      <c r="H68">
        <v>21</v>
      </c>
      <c r="I68">
        <v>142</v>
      </c>
      <c r="J68" t="s">
        <v>59</v>
      </c>
      <c r="L68" t="s">
        <v>60</v>
      </c>
      <c r="M68" t="s">
        <v>38</v>
      </c>
      <c r="N68">
        <v>67064</v>
      </c>
      <c r="O68" s="11">
        <v>5.8</v>
      </c>
      <c r="P68" t="s">
        <v>143</v>
      </c>
      <c r="Q68" s="1" t="s">
        <v>144</v>
      </c>
      <c r="R68" t="s">
        <v>63</v>
      </c>
      <c r="S68" t="s">
        <v>40</v>
      </c>
      <c r="T68" t="s">
        <v>41</v>
      </c>
      <c r="U68" t="s">
        <v>42</v>
      </c>
      <c r="V68">
        <v>2500</v>
      </c>
      <c r="W68">
        <v>2.9</v>
      </c>
      <c r="X68">
        <v>1070</v>
      </c>
      <c r="Y68">
        <v>8</v>
      </c>
      <c r="Z68">
        <v>240</v>
      </c>
      <c r="AA68" t="s">
        <v>43</v>
      </c>
      <c r="AB68" t="s">
        <v>44</v>
      </c>
      <c r="AC68" t="s">
        <v>45</v>
      </c>
      <c r="AD68">
        <v>1</v>
      </c>
      <c r="AE68">
        <v>1</v>
      </c>
      <c r="AG68">
        <v>1</v>
      </c>
    </row>
    <row r="69" spans="1:33" x14ac:dyDescent="0.35">
      <c r="A69" t="s">
        <v>145</v>
      </c>
      <c r="B69" t="s">
        <v>145</v>
      </c>
      <c r="C69" t="s">
        <v>59</v>
      </c>
      <c r="D69" t="s">
        <v>53</v>
      </c>
      <c r="E69" t="s">
        <v>36</v>
      </c>
      <c r="F69" s="11">
        <v>6.9431895959999999</v>
      </c>
      <c r="G69">
        <v>0</v>
      </c>
      <c r="H69">
        <v>21</v>
      </c>
      <c r="I69">
        <v>134</v>
      </c>
      <c r="J69" t="s">
        <v>59</v>
      </c>
      <c r="L69" t="s">
        <v>60</v>
      </c>
      <c r="M69" t="s">
        <v>38</v>
      </c>
      <c r="N69">
        <v>67064</v>
      </c>
      <c r="O69" s="11">
        <v>6.9</v>
      </c>
      <c r="P69" t="s">
        <v>59</v>
      </c>
      <c r="Q69">
        <v>4.3189595999999497E-2</v>
      </c>
      <c r="R69" t="s">
        <v>63</v>
      </c>
      <c r="S69" t="s">
        <v>40</v>
      </c>
      <c r="T69" t="s">
        <v>41</v>
      </c>
      <c r="U69" t="s">
        <v>42</v>
      </c>
      <c r="V69">
        <v>2500</v>
      </c>
      <c r="W69">
        <v>2.9</v>
      </c>
      <c r="X69">
        <v>1070</v>
      </c>
      <c r="Y69">
        <v>8</v>
      </c>
      <c r="Z69">
        <v>240</v>
      </c>
      <c r="AA69" t="s">
        <v>43</v>
      </c>
      <c r="AB69" t="s">
        <v>44</v>
      </c>
      <c r="AC69" t="s">
        <v>45</v>
      </c>
      <c r="AD69">
        <v>1</v>
      </c>
      <c r="AE69">
        <v>1</v>
      </c>
      <c r="AG69">
        <v>1</v>
      </c>
    </row>
    <row r="70" spans="1:33" x14ac:dyDescent="0.35">
      <c r="A70" t="s">
        <v>146</v>
      </c>
      <c r="B70" t="s">
        <v>146</v>
      </c>
      <c r="C70" t="s">
        <v>34</v>
      </c>
      <c r="D70" t="s">
        <v>35</v>
      </c>
      <c r="E70" t="s">
        <v>36</v>
      </c>
      <c r="F70" s="11">
        <v>10.91581109</v>
      </c>
      <c r="G70">
        <v>0</v>
      </c>
      <c r="H70">
        <v>0</v>
      </c>
      <c r="J70" t="s">
        <v>34</v>
      </c>
      <c r="L70" t="s">
        <v>60</v>
      </c>
      <c r="M70" t="s">
        <v>38</v>
      </c>
      <c r="N70">
        <v>67064</v>
      </c>
      <c r="O70" s="11">
        <v>10.9</v>
      </c>
      <c r="P70" t="s">
        <v>34</v>
      </c>
      <c r="Q70" s="1" t="s">
        <v>147</v>
      </c>
      <c r="R70" t="s">
        <v>39</v>
      </c>
      <c r="S70" t="s">
        <v>40</v>
      </c>
      <c r="T70" t="s">
        <v>41</v>
      </c>
      <c r="U70" t="s">
        <v>42</v>
      </c>
      <c r="V70">
        <v>2500</v>
      </c>
      <c r="W70">
        <v>2.9</v>
      </c>
      <c r="X70">
        <v>1070</v>
      </c>
      <c r="Y70">
        <v>8</v>
      </c>
      <c r="Z70">
        <v>240</v>
      </c>
      <c r="AA70" t="s">
        <v>43</v>
      </c>
      <c r="AB70" t="s">
        <v>44</v>
      </c>
      <c r="AC70" t="s">
        <v>45</v>
      </c>
      <c r="AD70">
        <v>1</v>
      </c>
      <c r="AE70">
        <v>1</v>
      </c>
      <c r="AG70">
        <v>1</v>
      </c>
    </row>
    <row r="71" spans="1:33" x14ac:dyDescent="0.35">
      <c r="A71" t="s">
        <v>148</v>
      </c>
      <c r="B71" t="s">
        <v>148</v>
      </c>
      <c r="C71" t="s">
        <v>59</v>
      </c>
      <c r="D71" t="s">
        <v>35</v>
      </c>
      <c r="E71" t="s">
        <v>36</v>
      </c>
      <c r="F71" s="11">
        <v>9.9958932239999996</v>
      </c>
      <c r="G71">
        <v>20</v>
      </c>
      <c r="H71">
        <v>25</v>
      </c>
      <c r="I71">
        <v>129</v>
      </c>
      <c r="J71" t="s">
        <v>59</v>
      </c>
      <c r="L71" t="s">
        <v>60</v>
      </c>
      <c r="M71" t="s">
        <v>38</v>
      </c>
      <c r="N71">
        <v>67064</v>
      </c>
      <c r="O71" s="11">
        <v>10</v>
      </c>
      <c r="P71" t="s">
        <v>59</v>
      </c>
      <c r="Q71">
        <v>4.1067760000004202E-3</v>
      </c>
      <c r="R71" t="s">
        <v>63</v>
      </c>
      <c r="S71" t="s">
        <v>40</v>
      </c>
      <c r="T71" t="s">
        <v>64</v>
      </c>
      <c r="U71" t="s">
        <v>42</v>
      </c>
      <c r="V71">
        <v>2500</v>
      </c>
      <c r="W71">
        <v>2.9</v>
      </c>
      <c r="X71">
        <v>1070</v>
      </c>
      <c r="Y71">
        <v>8</v>
      </c>
      <c r="Z71">
        <v>240</v>
      </c>
      <c r="AA71" t="s">
        <v>43</v>
      </c>
      <c r="AB71" t="s">
        <v>44</v>
      </c>
      <c r="AC71" t="s">
        <v>45</v>
      </c>
      <c r="AD71">
        <v>1</v>
      </c>
      <c r="AE71">
        <v>1</v>
      </c>
      <c r="AG71">
        <v>1</v>
      </c>
    </row>
    <row r="72" spans="1:33" x14ac:dyDescent="0.35">
      <c r="A72" t="s">
        <v>149</v>
      </c>
      <c r="B72" t="s">
        <v>149</v>
      </c>
      <c r="C72" t="s">
        <v>59</v>
      </c>
      <c r="D72" t="s">
        <v>35</v>
      </c>
      <c r="E72" t="s">
        <v>36</v>
      </c>
      <c r="F72" s="11">
        <v>9.1060917180000001</v>
      </c>
      <c r="G72">
        <v>0</v>
      </c>
      <c r="H72">
        <v>14</v>
      </c>
      <c r="I72">
        <v>271</v>
      </c>
      <c r="J72" t="s">
        <v>59</v>
      </c>
      <c r="L72" t="s">
        <v>60</v>
      </c>
      <c r="M72" t="s">
        <v>38</v>
      </c>
      <c r="N72">
        <v>67064</v>
      </c>
      <c r="O72" s="11">
        <v>9.1</v>
      </c>
      <c r="P72" t="s">
        <v>59</v>
      </c>
      <c r="Q72">
        <v>6.0917180000004097E-3</v>
      </c>
      <c r="R72" t="s">
        <v>63</v>
      </c>
      <c r="S72" t="s">
        <v>40</v>
      </c>
      <c r="T72" t="s">
        <v>64</v>
      </c>
      <c r="U72" t="s">
        <v>42</v>
      </c>
      <c r="V72">
        <v>2500</v>
      </c>
      <c r="W72">
        <v>2.9</v>
      </c>
      <c r="X72">
        <v>1070</v>
      </c>
      <c r="Y72">
        <v>8</v>
      </c>
      <c r="Z72">
        <v>240</v>
      </c>
      <c r="AA72" t="s">
        <v>43</v>
      </c>
      <c r="AB72" t="s">
        <v>44</v>
      </c>
      <c r="AC72" t="s">
        <v>45</v>
      </c>
      <c r="AD72">
        <v>1</v>
      </c>
      <c r="AE72">
        <v>1</v>
      </c>
      <c r="AG72">
        <v>1</v>
      </c>
    </row>
    <row r="73" spans="1:33" x14ac:dyDescent="0.35">
      <c r="A73" t="s">
        <v>150</v>
      </c>
      <c r="B73" t="s">
        <v>150</v>
      </c>
      <c r="C73" t="s">
        <v>59</v>
      </c>
      <c r="D73" t="s">
        <v>35</v>
      </c>
      <c r="E73" t="s">
        <v>36</v>
      </c>
      <c r="F73" s="11">
        <v>8.2655715260000004</v>
      </c>
      <c r="G73">
        <v>10</v>
      </c>
      <c r="H73">
        <v>17</v>
      </c>
      <c r="I73">
        <v>121</v>
      </c>
      <c r="J73" t="s">
        <v>59</v>
      </c>
      <c r="L73" t="s">
        <v>60</v>
      </c>
      <c r="M73" t="s">
        <v>38</v>
      </c>
      <c r="N73">
        <v>67064</v>
      </c>
      <c r="O73" s="11">
        <v>8.3000000000000007</v>
      </c>
      <c r="P73" t="s">
        <v>59</v>
      </c>
      <c r="Q73" s="1" t="s">
        <v>151</v>
      </c>
      <c r="R73" t="s">
        <v>63</v>
      </c>
      <c r="S73" t="s">
        <v>40</v>
      </c>
      <c r="T73" t="s">
        <v>64</v>
      </c>
      <c r="U73" t="s">
        <v>42</v>
      </c>
      <c r="V73">
        <v>2500</v>
      </c>
      <c r="W73">
        <v>2.9</v>
      </c>
      <c r="X73">
        <v>1070</v>
      </c>
      <c r="Y73">
        <v>8</v>
      </c>
      <c r="Z73">
        <v>240</v>
      </c>
      <c r="AA73" t="s">
        <v>43</v>
      </c>
      <c r="AB73" t="s">
        <v>44</v>
      </c>
      <c r="AC73" t="s">
        <v>45</v>
      </c>
      <c r="AD73">
        <v>1</v>
      </c>
      <c r="AE73">
        <v>1</v>
      </c>
      <c r="AG73">
        <v>1</v>
      </c>
    </row>
    <row r="74" spans="1:33" x14ac:dyDescent="0.35">
      <c r="A74" t="s">
        <v>152</v>
      </c>
      <c r="B74" t="s">
        <v>152</v>
      </c>
      <c r="C74" t="s">
        <v>59</v>
      </c>
      <c r="D74" t="s">
        <v>35</v>
      </c>
      <c r="E74" t="s">
        <v>36</v>
      </c>
      <c r="F74" s="11">
        <v>5.0212183440000002</v>
      </c>
      <c r="G74">
        <v>0</v>
      </c>
      <c r="H74">
        <v>15</v>
      </c>
      <c r="I74">
        <v>365</v>
      </c>
      <c r="J74" t="s">
        <v>59</v>
      </c>
      <c r="L74" t="s">
        <v>60</v>
      </c>
      <c r="M74" t="s">
        <v>38</v>
      </c>
      <c r="N74">
        <v>67064</v>
      </c>
      <c r="O74" s="11">
        <v>5</v>
      </c>
      <c r="P74" t="s">
        <v>59</v>
      </c>
      <c r="Q74" s="1" t="s">
        <v>153</v>
      </c>
      <c r="R74" t="s">
        <v>63</v>
      </c>
      <c r="S74" t="s">
        <v>40</v>
      </c>
      <c r="T74" t="s">
        <v>64</v>
      </c>
      <c r="U74" t="s">
        <v>42</v>
      </c>
      <c r="V74">
        <v>2500</v>
      </c>
      <c r="W74">
        <v>2.9</v>
      </c>
      <c r="X74">
        <v>1070</v>
      </c>
      <c r="Y74">
        <v>8</v>
      </c>
      <c r="Z74">
        <v>240</v>
      </c>
      <c r="AA74" t="s">
        <v>43</v>
      </c>
      <c r="AB74" t="s">
        <v>44</v>
      </c>
      <c r="AC74" t="s">
        <v>45</v>
      </c>
      <c r="AD74">
        <v>1</v>
      </c>
      <c r="AE74">
        <v>1</v>
      </c>
      <c r="AG74">
        <v>1</v>
      </c>
    </row>
    <row r="75" spans="1:33" x14ac:dyDescent="0.35">
      <c r="A75" t="s">
        <v>154</v>
      </c>
      <c r="B75" t="s">
        <v>154</v>
      </c>
      <c r="C75" t="s">
        <v>59</v>
      </c>
      <c r="D75" t="s">
        <v>35</v>
      </c>
      <c r="E75" t="s">
        <v>70</v>
      </c>
      <c r="F75" s="11">
        <v>5.2101300479999999</v>
      </c>
      <c r="G75">
        <v>0</v>
      </c>
      <c r="H75">
        <v>20</v>
      </c>
      <c r="I75">
        <v>133</v>
      </c>
      <c r="J75" t="s">
        <v>59</v>
      </c>
      <c r="L75" t="s">
        <v>60</v>
      </c>
      <c r="M75" t="s">
        <v>38</v>
      </c>
      <c r="N75">
        <v>67064</v>
      </c>
      <c r="O75" s="11">
        <v>5.2</v>
      </c>
      <c r="P75" t="s">
        <v>59</v>
      </c>
      <c r="Q75" s="1" t="s">
        <v>155</v>
      </c>
      <c r="R75" t="s">
        <v>63</v>
      </c>
      <c r="S75" t="s">
        <v>40</v>
      </c>
      <c r="T75" t="s">
        <v>57</v>
      </c>
      <c r="U75" t="s">
        <v>42</v>
      </c>
      <c r="V75">
        <v>2500</v>
      </c>
      <c r="W75">
        <v>2.9</v>
      </c>
      <c r="X75">
        <v>1070</v>
      </c>
      <c r="Y75">
        <v>8</v>
      </c>
      <c r="Z75">
        <v>240</v>
      </c>
      <c r="AA75" t="s">
        <v>43</v>
      </c>
      <c r="AB75" t="s">
        <v>44</v>
      </c>
      <c r="AC75" t="s">
        <v>45</v>
      </c>
      <c r="AD75">
        <v>1</v>
      </c>
      <c r="AE75">
        <v>1</v>
      </c>
      <c r="AG75">
        <v>1</v>
      </c>
    </row>
    <row r="76" spans="1:33" x14ac:dyDescent="0.35">
      <c r="A76" t="s">
        <v>156</v>
      </c>
      <c r="B76" t="s">
        <v>156</v>
      </c>
      <c r="C76" t="s">
        <v>59</v>
      </c>
      <c r="D76" t="s">
        <v>35</v>
      </c>
      <c r="E76" t="s">
        <v>36</v>
      </c>
      <c r="F76" s="11">
        <v>8.3997262149999994</v>
      </c>
      <c r="G76">
        <v>10</v>
      </c>
      <c r="H76">
        <v>12</v>
      </c>
      <c r="I76">
        <v>115</v>
      </c>
      <c r="J76" t="s">
        <v>59</v>
      </c>
      <c r="L76" t="s">
        <v>60</v>
      </c>
      <c r="M76" t="s">
        <v>38</v>
      </c>
      <c r="N76">
        <v>67064</v>
      </c>
      <c r="O76" s="11">
        <v>8.4</v>
      </c>
      <c r="P76" t="s">
        <v>59</v>
      </c>
      <c r="Q76">
        <v>2.7378500000097E-4</v>
      </c>
      <c r="R76" t="s">
        <v>63</v>
      </c>
      <c r="S76" t="s">
        <v>40</v>
      </c>
      <c r="T76" t="s">
        <v>64</v>
      </c>
      <c r="U76" t="s">
        <v>42</v>
      </c>
      <c r="V76">
        <v>2500</v>
      </c>
      <c r="W76">
        <v>2.9</v>
      </c>
      <c r="X76">
        <v>1070</v>
      </c>
      <c r="Y76">
        <v>8</v>
      </c>
      <c r="Z76">
        <v>240</v>
      </c>
      <c r="AA76" t="s">
        <v>43</v>
      </c>
      <c r="AB76" t="s">
        <v>44</v>
      </c>
      <c r="AC76" t="s">
        <v>45</v>
      </c>
      <c r="AD76">
        <v>1</v>
      </c>
      <c r="AE76">
        <v>1</v>
      </c>
      <c r="AG76">
        <v>1</v>
      </c>
    </row>
    <row r="77" spans="1:33" x14ac:dyDescent="0.35">
      <c r="A77" t="s">
        <v>157</v>
      </c>
      <c r="B77" t="s">
        <v>157</v>
      </c>
      <c r="C77" t="s">
        <v>59</v>
      </c>
      <c r="D77" t="s">
        <v>35</v>
      </c>
      <c r="E77" t="s">
        <v>121</v>
      </c>
      <c r="F77" s="11">
        <v>7.7837097880000004</v>
      </c>
      <c r="G77">
        <v>0</v>
      </c>
      <c r="H77">
        <v>19</v>
      </c>
      <c r="I77">
        <v>42</v>
      </c>
      <c r="J77" t="s">
        <v>59</v>
      </c>
      <c r="L77" t="s">
        <v>60</v>
      </c>
      <c r="M77" t="s">
        <v>38</v>
      </c>
      <c r="N77">
        <v>67064</v>
      </c>
      <c r="O77" s="11">
        <v>7.8</v>
      </c>
      <c r="P77" t="s">
        <v>59</v>
      </c>
      <c r="Q77">
        <v>1.6290211999999402E-2</v>
      </c>
      <c r="R77" t="s">
        <v>63</v>
      </c>
      <c r="S77" t="s">
        <v>40</v>
      </c>
      <c r="T77" t="s">
        <v>64</v>
      </c>
      <c r="U77" t="s">
        <v>42</v>
      </c>
      <c r="V77">
        <v>2500</v>
      </c>
      <c r="W77">
        <v>2.9</v>
      </c>
      <c r="X77">
        <v>1070</v>
      </c>
      <c r="Y77">
        <v>8</v>
      </c>
      <c r="Z77">
        <v>240</v>
      </c>
      <c r="AA77" t="s">
        <v>43</v>
      </c>
      <c r="AB77" t="s">
        <v>44</v>
      </c>
      <c r="AC77" t="s">
        <v>45</v>
      </c>
      <c r="AD77">
        <v>1</v>
      </c>
      <c r="AE77">
        <v>1</v>
      </c>
      <c r="AG77">
        <v>1</v>
      </c>
    </row>
    <row r="78" spans="1:33" x14ac:dyDescent="0.35">
      <c r="A78" t="s">
        <v>158</v>
      </c>
      <c r="B78" t="s">
        <v>158</v>
      </c>
      <c r="C78" t="s">
        <v>59</v>
      </c>
      <c r="D78" t="s">
        <v>35</v>
      </c>
      <c r="E78" t="s">
        <v>36</v>
      </c>
      <c r="F78" s="11">
        <v>8.9363449690000003</v>
      </c>
      <c r="G78">
        <v>0</v>
      </c>
      <c r="H78">
        <v>23</v>
      </c>
      <c r="I78">
        <v>297</v>
      </c>
      <c r="J78" t="s">
        <v>59</v>
      </c>
      <c r="L78" t="s">
        <v>60</v>
      </c>
      <c r="M78" t="s">
        <v>38</v>
      </c>
      <c r="N78">
        <v>67064</v>
      </c>
      <c r="O78" s="11">
        <v>8.9</v>
      </c>
      <c r="P78" t="s">
        <v>59</v>
      </c>
      <c r="Q78">
        <v>3.6344968999999901E-2</v>
      </c>
      <c r="R78" t="s">
        <v>63</v>
      </c>
      <c r="S78" t="s">
        <v>40</v>
      </c>
      <c r="T78" t="s">
        <v>64</v>
      </c>
      <c r="U78" t="s">
        <v>42</v>
      </c>
      <c r="V78">
        <v>2500</v>
      </c>
      <c r="W78">
        <v>2.9</v>
      </c>
      <c r="X78">
        <v>1070</v>
      </c>
      <c r="Y78">
        <v>8</v>
      </c>
      <c r="Z78">
        <v>240</v>
      </c>
      <c r="AA78" t="s">
        <v>43</v>
      </c>
      <c r="AB78" t="s">
        <v>44</v>
      </c>
      <c r="AC78" t="s">
        <v>45</v>
      </c>
      <c r="AD78">
        <v>1</v>
      </c>
      <c r="AE78">
        <v>1</v>
      </c>
      <c r="AG78">
        <v>1</v>
      </c>
    </row>
    <row r="79" spans="1:33" x14ac:dyDescent="0.35">
      <c r="A79" t="s">
        <v>159</v>
      </c>
      <c r="B79" t="s">
        <v>159</v>
      </c>
      <c r="C79" t="s">
        <v>59</v>
      </c>
      <c r="D79" t="s">
        <v>35</v>
      </c>
      <c r="E79" t="s">
        <v>36</v>
      </c>
      <c r="F79" s="11">
        <v>5.8480492809999998</v>
      </c>
      <c r="G79">
        <v>10</v>
      </c>
      <c r="H79">
        <v>16</v>
      </c>
      <c r="I79">
        <v>197</v>
      </c>
      <c r="J79" t="s">
        <v>59</v>
      </c>
      <c r="L79" t="s">
        <v>60</v>
      </c>
      <c r="M79" t="s">
        <v>38</v>
      </c>
      <c r="N79">
        <v>67064</v>
      </c>
      <c r="O79" s="11">
        <v>5.8</v>
      </c>
      <c r="P79" t="s">
        <v>59</v>
      </c>
      <c r="Q79" s="1" t="s">
        <v>160</v>
      </c>
      <c r="R79" t="s">
        <v>63</v>
      </c>
      <c r="S79" t="s">
        <v>40</v>
      </c>
      <c r="T79" t="s">
        <v>64</v>
      </c>
      <c r="U79" t="s">
        <v>42</v>
      </c>
      <c r="V79">
        <v>2500</v>
      </c>
      <c r="W79">
        <v>2.9</v>
      </c>
      <c r="X79">
        <v>1070</v>
      </c>
      <c r="Y79">
        <v>8</v>
      </c>
      <c r="Z79">
        <v>240</v>
      </c>
      <c r="AA79" t="s">
        <v>43</v>
      </c>
      <c r="AB79" t="s">
        <v>44</v>
      </c>
      <c r="AC79" t="s">
        <v>45</v>
      </c>
      <c r="AD79">
        <v>1</v>
      </c>
      <c r="AE79">
        <v>1</v>
      </c>
      <c r="AG79">
        <v>1</v>
      </c>
    </row>
    <row r="80" spans="1:33" x14ac:dyDescent="0.35">
      <c r="A80" t="s">
        <v>161</v>
      </c>
      <c r="B80" t="s">
        <v>161</v>
      </c>
      <c r="C80" t="s">
        <v>59</v>
      </c>
      <c r="D80" t="s">
        <v>35</v>
      </c>
      <c r="E80" t="s">
        <v>70</v>
      </c>
      <c r="F80" s="11">
        <v>7.2662559890000002</v>
      </c>
      <c r="G80">
        <v>0</v>
      </c>
      <c r="H80">
        <v>16</v>
      </c>
      <c r="I80">
        <v>344</v>
      </c>
      <c r="J80" t="s">
        <v>59</v>
      </c>
      <c r="L80" t="s">
        <v>60</v>
      </c>
      <c r="M80" t="s">
        <v>38</v>
      </c>
      <c r="N80">
        <v>67064</v>
      </c>
      <c r="O80" s="11">
        <v>7.3</v>
      </c>
      <c r="P80" t="s">
        <v>59</v>
      </c>
      <c r="Q80" s="1" t="s">
        <v>162</v>
      </c>
      <c r="R80" t="s">
        <v>63</v>
      </c>
      <c r="S80" t="s">
        <v>40</v>
      </c>
      <c r="T80" t="s">
        <v>64</v>
      </c>
      <c r="U80" t="s">
        <v>42</v>
      </c>
      <c r="V80">
        <v>2500</v>
      </c>
      <c r="W80">
        <v>2.9</v>
      </c>
      <c r="X80">
        <v>1070</v>
      </c>
      <c r="Y80">
        <v>8</v>
      </c>
      <c r="Z80">
        <v>240</v>
      </c>
      <c r="AA80" t="s">
        <v>43</v>
      </c>
      <c r="AB80" t="s">
        <v>44</v>
      </c>
      <c r="AC80" t="s">
        <v>45</v>
      </c>
      <c r="AD80">
        <v>1</v>
      </c>
      <c r="AE80">
        <v>1</v>
      </c>
      <c r="AG80">
        <v>1</v>
      </c>
    </row>
    <row r="81" spans="1:33" x14ac:dyDescent="0.35">
      <c r="A81" t="s">
        <v>163</v>
      </c>
      <c r="B81" t="s">
        <v>163</v>
      </c>
      <c r="C81" t="s">
        <v>59</v>
      </c>
      <c r="D81" t="s">
        <v>53</v>
      </c>
      <c r="E81" t="s">
        <v>70</v>
      </c>
      <c r="F81" s="11">
        <v>7.9370294320000001</v>
      </c>
      <c r="G81">
        <v>30</v>
      </c>
      <c r="H81">
        <v>11</v>
      </c>
      <c r="I81">
        <v>185</v>
      </c>
      <c r="J81" t="s">
        <v>59</v>
      </c>
      <c r="L81" t="s">
        <v>60</v>
      </c>
      <c r="M81" t="s">
        <v>38</v>
      </c>
      <c r="N81">
        <v>67064</v>
      </c>
      <c r="O81" s="11">
        <v>7.9</v>
      </c>
      <c r="P81" t="s">
        <v>59</v>
      </c>
      <c r="Q81">
        <v>3.7029431999999703E-2</v>
      </c>
      <c r="R81" t="s">
        <v>63</v>
      </c>
      <c r="S81" t="s">
        <v>40</v>
      </c>
      <c r="T81" t="s">
        <v>64</v>
      </c>
      <c r="U81" t="s">
        <v>42</v>
      </c>
      <c r="V81">
        <v>2500</v>
      </c>
      <c r="W81">
        <v>2.9</v>
      </c>
      <c r="X81">
        <v>1070</v>
      </c>
      <c r="Y81">
        <v>8</v>
      </c>
      <c r="Z81">
        <v>240</v>
      </c>
      <c r="AA81" t="s">
        <v>43</v>
      </c>
      <c r="AB81" t="s">
        <v>44</v>
      </c>
      <c r="AC81" t="s">
        <v>45</v>
      </c>
      <c r="AD81">
        <v>1</v>
      </c>
      <c r="AE81">
        <v>1</v>
      </c>
      <c r="AG81">
        <v>1</v>
      </c>
    </row>
    <row r="82" spans="1:33" x14ac:dyDescent="0.35">
      <c r="A82" t="s">
        <v>164</v>
      </c>
      <c r="B82" t="s">
        <v>164</v>
      </c>
      <c r="C82" t="s">
        <v>34</v>
      </c>
      <c r="D82" t="s">
        <v>35</v>
      </c>
      <c r="E82" t="s">
        <v>121</v>
      </c>
      <c r="F82" s="11">
        <v>7.1184120469999996</v>
      </c>
      <c r="G82">
        <v>0</v>
      </c>
      <c r="H82">
        <v>0</v>
      </c>
      <c r="J82" t="s">
        <v>34</v>
      </c>
      <c r="L82" t="s">
        <v>60</v>
      </c>
      <c r="M82" t="s">
        <v>38</v>
      </c>
      <c r="N82">
        <v>67064</v>
      </c>
      <c r="O82" s="11">
        <v>7.1</v>
      </c>
      <c r="P82" t="s">
        <v>34</v>
      </c>
      <c r="Q82" s="1" t="s">
        <v>165</v>
      </c>
      <c r="R82" t="s">
        <v>39</v>
      </c>
      <c r="S82" t="s">
        <v>40</v>
      </c>
      <c r="T82" t="s">
        <v>64</v>
      </c>
      <c r="U82" t="s">
        <v>42</v>
      </c>
      <c r="V82">
        <v>2500</v>
      </c>
      <c r="W82">
        <v>2.9</v>
      </c>
      <c r="X82">
        <v>1070</v>
      </c>
      <c r="Y82">
        <v>8</v>
      </c>
      <c r="Z82">
        <v>240</v>
      </c>
      <c r="AA82" t="s">
        <v>43</v>
      </c>
      <c r="AB82" t="s">
        <v>44</v>
      </c>
      <c r="AC82" t="s">
        <v>45</v>
      </c>
      <c r="AD82">
        <v>1</v>
      </c>
      <c r="AE82">
        <v>1</v>
      </c>
      <c r="AG82">
        <v>1</v>
      </c>
    </row>
    <row r="83" spans="1:33" x14ac:dyDescent="0.35">
      <c r="A83" t="s">
        <v>166</v>
      </c>
      <c r="B83" t="s">
        <v>166</v>
      </c>
      <c r="C83" t="s">
        <v>59</v>
      </c>
      <c r="D83" t="s">
        <v>35</v>
      </c>
      <c r="E83" t="s">
        <v>36</v>
      </c>
      <c r="F83" s="11">
        <v>7.7481177280000004</v>
      </c>
      <c r="G83">
        <v>0</v>
      </c>
      <c r="H83">
        <v>14</v>
      </c>
      <c r="I83">
        <v>224</v>
      </c>
      <c r="J83" t="s">
        <v>59</v>
      </c>
      <c r="L83" t="s">
        <v>60</v>
      </c>
      <c r="M83" t="s">
        <v>38</v>
      </c>
      <c r="N83">
        <v>67064</v>
      </c>
      <c r="O83" s="11">
        <v>7.7</v>
      </c>
      <c r="P83" t="s">
        <v>59</v>
      </c>
      <c r="Q83">
        <v>4.81177280000002E-2</v>
      </c>
      <c r="R83" t="s">
        <v>63</v>
      </c>
      <c r="S83" t="s">
        <v>40</v>
      </c>
      <c r="T83" t="s">
        <v>64</v>
      </c>
      <c r="U83" t="s">
        <v>42</v>
      </c>
      <c r="V83">
        <v>2500</v>
      </c>
      <c r="W83">
        <v>2.9</v>
      </c>
      <c r="X83">
        <v>1070</v>
      </c>
      <c r="Y83">
        <v>8</v>
      </c>
      <c r="Z83">
        <v>240</v>
      </c>
      <c r="AA83" t="s">
        <v>43</v>
      </c>
      <c r="AB83" t="s">
        <v>44</v>
      </c>
      <c r="AC83" t="s">
        <v>45</v>
      </c>
      <c r="AD83">
        <v>1</v>
      </c>
      <c r="AE83">
        <v>1</v>
      </c>
      <c r="AG83">
        <v>1</v>
      </c>
    </row>
    <row r="84" spans="1:33" x14ac:dyDescent="0.35">
      <c r="A84" t="s">
        <v>167</v>
      </c>
      <c r="B84" t="s">
        <v>167</v>
      </c>
      <c r="C84" t="s">
        <v>59</v>
      </c>
      <c r="D84" t="s">
        <v>35</v>
      </c>
      <c r="E84" t="s">
        <v>36</v>
      </c>
      <c r="F84" s="11">
        <v>5.0568104040000001</v>
      </c>
      <c r="G84">
        <v>10</v>
      </c>
      <c r="H84">
        <v>10</v>
      </c>
      <c r="I84">
        <v>167</v>
      </c>
      <c r="J84" t="s">
        <v>59</v>
      </c>
      <c r="L84" t="s">
        <v>60</v>
      </c>
      <c r="M84" t="s">
        <v>38</v>
      </c>
      <c r="N84">
        <v>67064</v>
      </c>
      <c r="O84" s="11">
        <v>5.0999999999999996</v>
      </c>
      <c r="P84" t="s">
        <v>59</v>
      </c>
      <c r="Q84">
        <v>4.3189595999999497E-2</v>
      </c>
      <c r="R84" t="s">
        <v>63</v>
      </c>
      <c r="S84" t="s">
        <v>40</v>
      </c>
      <c r="T84" t="s">
        <v>64</v>
      </c>
      <c r="U84" t="s">
        <v>42</v>
      </c>
      <c r="V84">
        <v>2500</v>
      </c>
      <c r="W84">
        <v>2.9</v>
      </c>
      <c r="X84">
        <v>1070</v>
      </c>
      <c r="Y84">
        <v>8</v>
      </c>
      <c r="Z84">
        <v>240</v>
      </c>
      <c r="AA84" t="s">
        <v>43</v>
      </c>
      <c r="AB84" t="s">
        <v>44</v>
      </c>
      <c r="AC84" t="s">
        <v>45</v>
      </c>
      <c r="AD84">
        <v>1</v>
      </c>
      <c r="AE84">
        <v>1</v>
      </c>
      <c r="AG84">
        <v>1</v>
      </c>
    </row>
    <row r="85" spans="1:33" x14ac:dyDescent="0.35">
      <c r="A85" t="s">
        <v>168</v>
      </c>
      <c r="B85" t="s">
        <v>168</v>
      </c>
      <c r="C85" t="s">
        <v>59</v>
      </c>
      <c r="D85" t="s">
        <v>53</v>
      </c>
      <c r="E85" t="s">
        <v>36</v>
      </c>
      <c r="F85" s="11">
        <v>9.8945927450000006</v>
      </c>
      <c r="G85">
        <v>10</v>
      </c>
      <c r="H85">
        <v>13</v>
      </c>
      <c r="I85">
        <v>93</v>
      </c>
      <c r="J85" t="s">
        <v>59</v>
      </c>
      <c r="L85" t="s">
        <v>60</v>
      </c>
      <c r="M85" t="s">
        <v>38</v>
      </c>
      <c r="N85">
        <v>67064</v>
      </c>
      <c r="O85" s="11">
        <v>9.9</v>
      </c>
      <c r="P85" t="s">
        <v>59</v>
      </c>
      <c r="Q85">
        <v>5.4072549999997204E-3</v>
      </c>
      <c r="R85" t="s">
        <v>63</v>
      </c>
      <c r="S85" t="s">
        <v>40</v>
      </c>
      <c r="T85" t="s">
        <v>169</v>
      </c>
      <c r="U85" t="s">
        <v>42</v>
      </c>
      <c r="V85">
        <v>2500</v>
      </c>
      <c r="W85">
        <v>2.9</v>
      </c>
      <c r="X85">
        <v>1070</v>
      </c>
      <c r="Y85">
        <v>8</v>
      </c>
      <c r="Z85">
        <v>240</v>
      </c>
      <c r="AA85" t="s">
        <v>43</v>
      </c>
      <c r="AB85" t="s">
        <v>44</v>
      </c>
      <c r="AC85" t="s">
        <v>45</v>
      </c>
      <c r="AD85">
        <v>1</v>
      </c>
      <c r="AE85">
        <v>1</v>
      </c>
      <c r="AG85">
        <v>1</v>
      </c>
    </row>
    <row r="86" spans="1:33" x14ac:dyDescent="0.35">
      <c r="A86" t="s">
        <v>170</v>
      </c>
      <c r="B86" t="s">
        <v>170</v>
      </c>
      <c r="C86" t="s">
        <v>59</v>
      </c>
      <c r="D86" t="s">
        <v>53</v>
      </c>
      <c r="E86" t="s">
        <v>36</v>
      </c>
      <c r="F86" s="11">
        <v>9.3908281999999996</v>
      </c>
      <c r="G86">
        <v>20</v>
      </c>
      <c r="H86">
        <v>19</v>
      </c>
      <c r="I86">
        <v>201</v>
      </c>
      <c r="J86" t="s">
        <v>59</v>
      </c>
      <c r="L86" t="s">
        <v>60</v>
      </c>
      <c r="M86" t="s">
        <v>38</v>
      </c>
      <c r="N86">
        <v>67064</v>
      </c>
      <c r="O86" s="11">
        <v>9.4</v>
      </c>
      <c r="P86" t="s">
        <v>59</v>
      </c>
      <c r="Q86">
        <v>9.1718000000007294E-3</v>
      </c>
      <c r="R86" t="s">
        <v>63</v>
      </c>
      <c r="S86" t="s">
        <v>40</v>
      </c>
      <c r="T86" t="s">
        <v>64</v>
      </c>
      <c r="U86" t="s">
        <v>42</v>
      </c>
      <c r="V86">
        <v>2500</v>
      </c>
      <c r="W86">
        <v>2.9</v>
      </c>
      <c r="X86">
        <v>1070</v>
      </c>
      <c r="Y86">
        <v>8</v>
      </c>
      <c r="Z86">
        <v>240</v>
      </c>
      <c r="AA86" t="s">
        <v>43</v>
      </c>
      <c r="AB86" t="s">
        <v>44</v>
      </c>
      <c r="AC86" t="s">
        <v>45</v>
      </c>
      <c r="AD86">
        <v>1</v>
      </c>
      <c r="AE86">
        <v>1</v>
      </c>
      <c r="AG86">
        <v>1</v>
      </c>
    </row>
    <row r="87" spans="1:33" x14ac:dyDescent="0.35">
      <c r="A87" t="s">
        <v>171</v>
      </c>
      <c r="B87" t="s">
        <v>171</v>
      </c>
      <c r="C87" t="s">
        <v>59</v>
      </c>
      <c r="D87" t="s">
        <v>35</v>
      </c>
      <c r="E87" t="s">
        <v>36</v>
      </c>
      <c r="F87" s="11">
        <v>10.32169747</v>
      </c>
      <c r="G87">
        <v>0</v>
      </c>
      <c r="H87">
        <v>12</v>
      </c>
      <c r="I87">
        <v>112</v>
      </c>
      <c r="J87" t="s">
        <v>59</v>
      </c>
      <c r="L87" t="s">
        <v>60</v>
      </c>
      <c r="M87" t="s">
        <v>38</v>
      </c>
      <c r="N87">
        <v>67064</v>
      </c>
      <c r="O87" s="11">
        <v>10.3</v>
      </c>
      <c r="P87" t="s">
        <v>59</v>
      </c>
      <c r="Q87">
        <v>2.16974699999994E-2</v>
      </c>
      <c r="R87" t="s">
        <v>63</v>
      </c>
      <c r="S87" t="s">
        <v>40</v>
      </c>
      <c r="T87" t="s">
        <v>64</v>
      </c>
      <c r="U87" t="s">
        <v>42</v>
      </c>
      <c r="V87">
        <v>2500</v>
      </c>
      <c r="W87">
        <v>2.9</v>
      </c>
      <c r="X87">
        <v>1070</v>
      </c>
      <c r="Y87">
        <v>8</v>
      </c>
      <c r="Z87">
        <v>240</v>
      </c>
      <c r="AA87" t="s">
        <v>43</v>
      </c>
      <c r="AB87" t="s">
        <v>44</v>
      </c>
      <c r="AC87" t="s">
        <v>45</v>
      </c>
      <c r="AD87">
        <v>1</v>
      </c>
      <c r="AE87">
        <v>1</v>
      </c>
      <c r="AG87">
        <v>1</v>
      </c>
    </row>
    <row r="88" spans="1:33" x14ac:dyDescent="0.35">
      <c r="A88" t="s">
        <v>172</v>
      </c>
      <c r="B88" t="s">
        <v>172</v>
      </c>
      <c r="C88" t="s">
        <v>59</v>
      </c>
      <c r="D88" t="s">
        <v>35</v>
      </c>
      <c r="E88" t="s">
        <v>70</v>
      </c>
      <c r="F88" s="11">
        <v>8.4024640660000003</v>
      </c>
      <c r="G88">
        <v>10</v>
      </c>
      <c r="H88">
        <v>22</v>
      </c>
      <c r="I88">
        <v>199</v>
      </c>
      <c r="J88" t="s">
        <v>59</v>
      </c>
      <c r="L88" t="s">
        <v>60</v>
      </c>
      <c r="M88" t="s">
        <v>38</v>
      </c>
      <c r="N88">
        <v>67064</v>
      </c>
      <c r="O88" s="11">
        <v>8.4</v>
      </c>
      <c r="P88" t="s">
        <v>59</v>
      </c>
      <c r="Q88">
        <v>2.4640659999999302E-3</v>
      </c>
      <c r="R88" t="s">
        <v>63</v>
      </c>
      <c r="S88" t="s">
        <v>40</v>
      </c>
      <c r="T88" t="s">
        <v>64</v>
      </c>
      <c r="U88" t="s">
        <v>42</v>
      </c>
      <c r="V88">
        <v>2500</v>
      </c>
      <c r="W88">
        <v>2.9</v>
      </c>
      <c r="X88">
        <v>1070</v>
      </c>
      <c r="Y88">
        <v>8</v>
      </c>
      <c r="Z88">
        <v>240</v>
      </c>
      <c r="AA88" t="s">
        <v>43</v>
      </c>
      <c r="AB88" t="s">
        <v>44</v>
      </c>
      <c r="AC88" t="s">
        <v>45</v>
      </c>
      <c r="AD88">
        <v>1</v>
      </c>
      <c r="AE88">
        <v>1</v>
      </c>
      <c r="AG88">
        <v>1</v>
      </c>
    </row>
    <row r="89" spans="1:33" x14ac:dyDescent="0.35">
      <c r="A89" t="s">
        <v>173</v>
      </c>
      <c r="B89" t="s">
        <v>173</v>
      </c>
      <c r="C89" t="s">
        <v>59</v>
      </c>
      <c r="D89" t="s">
        <v>53</v>
      </c>
      <c r="E89" t="s">
        <v>36</v>
      </c>
      <c r="F89" s="11">
        <v>10.92676249</v>
      </c>
      <c r="G89">
        <v>20</v>
      </c>
      <c r="H89">
        <v>26</v>
      </c>
      <c r="I89">
        <v>354</v>
      </c>
      <c r="J89" t="s">
        <v>59</v>
      </c>
      <c r="L89" t="s">
        <v>60</v>
      </c>
      <c r="M89" t="s">
        <v>38</v>
      </c>
      <c r="N89">
        <v>67064</v>
      </c>
      <c r="O89" s="11">
        <v>10.9</v>
      </c>
      <c r="P89" t="s">
        <v>59</v>
      </c>
      <c r="Q89" s="1" t="s">
        <v>174</v>
      </c>
      <c r="R89" t="s">
        <v>63</v>
      </c>
      <c r="S89" t="s">
        <v>40</v>
      </c>
      <c r="T89" t="s">
        <v>64</v>
      </c>
      <c r="U89" t="s">
        <v>42</v>
      </c>
      <c r="V89">
        <v>2500</v>
      </c>
      <c r="W89">
        <v>2.9</v>
      </c>
      <c r="X89">
        <v>1070</v>
      </c>
      <c r="Y89">
        <v>8</v>
      </c>
      <c r="Z89">
        <v>240</v>
      </c>
      <c r="AA89" t="s">
        <v>43</v>
      </c>
      <c r="AB89" t="s">
        <v>44</v>
      </c>
      <c r="AC89" t="s">
        <v>45</v>
      </c>
      <c r="AD89">
        <v>1</v>
      </c>
      <c r="AE89">
        <v>1</v>
      </c>
      <c r="AG89">
        <v>1</v>
      </c>
    </row>
    <row r="90" spans="1:33" x14ac:dyDescent="0.35">
      <c r="A90" t="s">
        <v>175</v>
      </c>
      <c r="B90" t="s">
        <v>175</v>
      </c>
      <c r="C90" t="s">
        <v>34</v>
      </c>
      <c r="D90" t="s">
        <v>53</v>
      </c>
      <c r="E90" t="s">
        <v>36</v>
      </c>
      <c r="F90" s="11">
        <v>9.3853524979999996</v>
      </c>
      <c r="G90">
        <v>0</v>
      </c>
      <c r="H90">
        <v>0</v>
      </c>
      <c r="J90" t="s">
        <v>34</v>
      </c>
      <c r="L90" t="s">
        <v>60</v>
      </c>
      <c r="M90" t="s">
        <v>38</v>
      </c>
      <c r="N90">
        <v>67064</v>
      </c>
      <c r="O90" s="11">
        <v>9.4</v>
      </c>
      <c r="P90" t="s">
        <v>34</v>
      </c>
      <c r="Q90" s="1" t="s">
        <v>176</v>
      </c>
      <c r="R90" t="s">
        <v>39</v>
      </c>
      <c r="S90" t="s">
        <v>40</v>
      </c>
      <c r="T90" t="s">
        <v>64</v>
      </c>
      <c r="U90" t="s">
        <v>42</v>
      </c>
      <c r="V90">
        <v>2500</v>
      </c>
      <c r="W90">
        <v>2.9</v>
      </c>
      <c r="X90">
        <v>1070</v>
      </c>
      <c r="Y90">
        <v>8</v>
      </c>
      <c r="Z90">
        <v>240</v>
      </c>
      <c r="AA90" t="s">
        <v>43</v>
      </c>
      <c r="AB90" t="s">
        <v>44</v>
      </c>
      <c r="AC90" t="s">
        <v>45</v>
      </c>
      <c r="AD90">
        <v>1</v>
      </c>
      <c r="AE90">
        <v>1</v>
      </c>
      <c r="AG90">
        <v>1</v>
      </c>
    </row>
    <row r="91" spans="1:33" x14ac:dyDescent="0.35">
      <c r="A91" t="s">
        <v>177</v>
      </c>
      <c r="B91" t="s">
        <v>177</v>
      </c>
      <c r="C91" t="s">
        <v>34</v>
      </c>
      <c r="D91" t="s">
        <v>35</v>
      </c>
      <c r="E91" t="s">
        <v>36</v>
      </c>
      <c r="F91" s="11">
        <v>8.2217659140000006</v>
      </c>
      <c r="G91">
        <v>0</v>
      </c>
      <c r="H91">
        <v>0</v>
      </c>
      <c r="J91" t="s">
        <v>34</v>
      </c>
      <c r="L91" t="s">
        <v>60</v>
      </c>
      <c r="M91" t="s">
        <v>38</v>
      </c>
      <c r="N91">
        <v>67064</v>
      </c>
      <c r="O91" s="11">
        <v>8.1999999999999993</v>
      </c>
      <c r="P91" t="s">
        <v>34</v>
      </c>
      <c r="Q91" s="1" t="s">
        <v>178</v>
      </c>
      <c r="R91" t="s">
        <v>39</v>
      </c>
      <c r="S91" t="s">
        <v>40</v>
      </c>
      <c r="T91" t="s">
        <v>64</v>
      </c>
      <c r="U91" t="s">
        <v>42</v>
      </c>
      <c r="V91">
        <v>2500</v>
      </c>
      <c r="W91">
        <v>2.9</v>
      </c>
      <c r="X91">
        <v>1070</v>
      </c>
      <c r="Y91">
        <v>8</v>
      </c>
      <c r="Z91">
        <v>240</v>
      </c>
      <c r="AA91" t="s">
        <v>43</v>
      </c>
      <c r="AB91" t="s">
        <v>44</v>
      </c>
      <c r="AC91" t="s">
        <v>45</v>
      </c>
      <c r="AD91">
        <v>1</v>
      </c>
      <c r="AE91">
        <v>1</v>
      </c>
      <c r="AG91">
        <v>1</v>
      </c>
    </row>
    <row r="92" spans="1:33" x14ac:dyDescent="0.35">
      <c r="A92" t="s">
        <v>179</v>
      </c>
      <c r="B92" t="s">
        <v>179</v>
      </c>
      <c r="C92" t="s">
        <v>34</v>
      </c>
      <c r="D92" t="s">
        <v>35</v>
      </c>
      <c r="E92" t="s">
        <v>36</v>
      </c>
      <c r="F92" s="11">
        <v>5.667351129</v>
      </c>
      <c r="G92">
        <v>0</v>
      </c>
      <c r="H92">
        <v>0</v>
      </c>
      <c r="J92" t="s">
        <v>34</v>
      </c>
      <c r="L92" t="s">
        <v>60</v>
      </c>
      <c r="M92" t="s">
        <v>38</v>
      </c>
      <c r="N92">
        <v>67064</v>
      </c>
      <c r="O92" s="11">
        <v>5.7</v>
      </c>
      <c r="P92" t="s">
        <v>34</v>
      </c>
      <c r="Q92" s="1" t="s">
        <v>180</v>
      </c>
      <c r="R92" t="s">
        <v>39</v>
      </c>
      <c r="S92" t="s">
        <v>40</v>
      </c>
      <c r="T92" t="s">
        <v>64</v>
      </c>
      <c r="U92" t="s">
        <v>42</v>
      </c>
      <c r="V92">
        <v>2500</v>
      </c>
      <c r="W92">
        <v>2.9</v>
      </c>
      <c r="X92">
        <v>1070</v>
      </c>
      <c r="Y92">
        <v>8</v>
      </c>
      <c r="Z92">
        <v>240</v>
      </c>
      <c r="AA92" t="s">
        <v>43</v>
      </c>
      <c r="AB92" t="s">
        <v>44</v>
      </c>
      <c r="AC92" t="s">
        <v>45</v>
      </c>
      <c r="AD92">
        <v>1</v>
      </c>
      <c r="AE92">
        <v>1</v>
      </c>
      <c r="AG92">
        <v>1</v>
      </c>
    </row>
    <row r="93" spans="1:33" x14ac:dyDescent="0.35">
      <c r="A93" t="s">
        <v>181</v>
      </c>
      <c r="B93" t="s">
        <v>181</v>
      </c>
      <c r="C93" t="s">
        <v>34</v>
      </c>
      <c r="D93" t="s">
        <v>35</v>
      </c>
      <c r="E93" t="s">
        <v>36</v>
      </c>
      <c r="F93" s="6">
        <v>10.98151951</v>
      </c>
      <c r="G93">
        <v>0</v>
      </c>
      <c r="H93">
        <v>0</v>
      </c>
      <c r="J93" t="s">
        <v>34</v>
      </c>
      <c r="L93" t="s">
        <v>60</v>
      </c>
      <c r="M93" t="s">
        <v>38</v>
      </c>
      <c r="N93">
        <v>67064</v>
      </c>
      <c r="O93" s="11">
        <v>11</v>
      </c>
      <c r="P93" t="s">
        <v>34</v>
      </c>
      <c r="Q93">
        <v>1.8480489999999902E-2</v>
      </c>
      <c r="R93" t="s">
        <v>39</v>
      </c>
      <c r="S93" t="s">
        <v>40</v>
      </c>
      <c r="T93" t="s">
        <v>64</v>
      </c>
      <c r="U93" t="s">
        <v>42</v>
      </c>
      <c r="V93">
        <v>2500</v>
      </c>
      <c r="W93">
        <v>2.9</v>
      </c>
      <c r="X93">
        <v>1070</v>
      </c>
      <c r="Y93">
        <v>8</v>
      </c>
      <c r="Z93">
        <v>240</v>
      </c>
      <c r="AA93" t="s">
        <v>43</v>
      </c>
      <c r="AB93" t="s">
        <v>44</v>
      </c>
      <c r="AC93" t="s">
        <v>45</v>
      </c>
      <c r="AD93">
        <v>1</v>
      </c>
      <c r="AE93">
        <v>1</v>
      </c>
      <c r="AG93">
        <v>1</v>
      </c>
    </row>
    <row r="94" spans="1:33" x14ac:dyDescent="0.35">
      <c r="A94" t="s">
        <v>182</v>
      </c>
      <c r="B94" t="s">
        <v>182</v>
      </c>
      <c r="C94" t="s">
        <v>34</v>
      </c>
      <c r="D94" t="s">
        <v>35</v>
      </c>
      <c r="E94" t="s">
        <v>36</v>
      </c>
      <c r="F94" s="11">
        <v>8.7419575629999997</v>
      </c>
      <c r="G94">
        <v>0</v>
      </c>
      <c r="H94">
        <v>0</v>
      </c>
      <c r="J94" t="s">
        <v>34</v>
      </c>
      <c r="L94" t="s">
        <v>60</v>
      </c>
      <c r="M94" t="s">
        <v>38</v>
      </c>
      <c r="N94">
        <v>67064</v>
      </c>
      <c r="O94" s="11">
        <v>8.6999999999999993</v>
      </c>
      <c r="P94" t="s">
        <v>34</v>
      </c>
      <c r="Q94">
        <v>4.1957563000000399E-2</v>
      </c>
      <c r="R94" t="s">
        <v>39</v>
      </c>
      <c r="S94" t="s">
        <v>40</v>
      </c>
      <c r="T94" t="s">
        <v>64</v>
      </c>
      <c r="U94" t="s">
        <v>42</v>
      </c>
      <c r="V94">
        <v>2500</v>
      </c>
      <c r="W94">
        <v>2.9</v>
      </c>
      <c r="X94">
        <v>1070</v>
      </c>
      <c r="Y94">
        <v>8</v>
      </c>
      <c r="Z94">
        <v>240</v>
      </c>
      <c r="AA94" t="s">
        <v>43</v>
      </c>
      <c r="AB94" t="s">
        <v>44</v>
      </c>
      <c r="AC94" t="s">
        <v>45</v>
      </c>
      <c r="AD94">
        <v>1</v>
      </c>
      <c r="AE94">
        <v>1</v>
      </c>
      <c r="AG9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AF24B-DB9E-4579-88E6-FCB25E2E6E48}">
  <dimension ref="A1:AC36"/>
  <sheetViews>
    <sheetView workbookViewId="0">
      <selection activeCell="P37" sqref="P37"/>
    </sheetView>
  </sheetViews>
  <sheetFormatPr defaultRowHeight="14.5" x14ac:dyDescent="0.35"/>
  <cols>
    <col min="14" max="14" width="12.1796875" bestFit="1" customWidth="1"/>
    <col min="15" max="15" width="14.6328125" bestFit="1" customWidth="1"/>
    <col min="16" max="16" width="4.6328125" customWidth="1"/>
    <col min="17" max="17" width="5.90625" customWidth="1"/>
    <col min="18" max="18" width="15.08984375" bestFit="1" customWidth="1"/>
    <col min="19" max="19" width="5.7265625" customWidth="1"/>
    <col min="20" max="20" width="3.7265625" customWidth="1"/>
    <col min="21" max="21" width="4.54296875" customWidth="1"/>
    <col min="22" max="22" width="8" bestFit="1" customWidth="1"/>
    <col min="23" max="23" width="9.81640625" bestFit="1" customWidth="1"/>
    <col min="24" max="24" width="7.81640625" customWidth="1"/>
    <col min="25" max="25" width="11.26953125" bestFit="1" customWidth="1"/>
  </cols>
  <sheetData>
    <row r="1" spans="1:25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14</v>
      </c>
      <c r="L1" t="s">
        <v>17</v>
      </c>
      <c r="N1" t="s">
        <v>0</v>
      </c>
      <c r="O1" t="s">
        <v>1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11</v>
      </c>
      <c r="X1" t="s">
        <v>14</v>
      </c>
      <c r="Y1" t="s">
        <v>17</v>
      </c>
    </row>
    <row r="2" spans="1:25" x14ac:dyDescent="0.35">
      <c r="A2" t="s">
        <v>73</v>
      </c>
      <c r="B2" t="s">
        <v>73</v>
      </c>
      <c r="C2" t="s">
        <v>53</v>
      </c>
      <c r="D2" t="s">
        <v>36</v>
      </c>
      <c r="E2">
        <v>5.6399726210000001</v>
      </c>
      <c r="F2">
        <v>10</v>
      </c>
      <c r="G2">
        <v>27</v>
      </c>
      <c r="H2">
        <v>98</v>
      </c>
      <c r="I2" t="s">
        <v>59</v>
      </c>
      <c r="J2" t="s">
        <v>60</v>
      </c>
      <c r="K2" s="4">
        <v>5.6</v>
      </c>
      <c r="L2" t="s">
        <v>63</v>
      </c>
      <c r="N2" t="s">
        <v>139</v>
      </c>
      <c r="O2" t="s">
        <v>139</v>
      </c>
      <c r="P2" t="s">
        <v>53</v>
      </c>
      <c r="Q2" t="s">
        <v>70</v>
      </c>
      <c r="R2">
        <v>6.0506502400000004</v>
      </c>
      <c r="S2">
        <v>0</v>
      </c>
      <c r="T2">
        <v>0</v>
      </c>
      <c r="V2" t="s">
        <v>34</v>
      </c>
      <c r="W2" t="s">
        <v>60</v>
      </c>
      <c r="X2" s="4">
        <v>6.1</v>
      </c>
      <c r="Y2" t="s">
        <v>39</v>
      </c>
    </row>
    <row r="3" spans="1:25" x14ac:dyDescent="0.35">
      <c r="A3" t="s">
        <v>78</v>
      </c>
      <c r="B3" t="s">
        <v>78</v>
      </c>
      <c r="C3" t="s">
        <v>53</v>
      </c>
      <c r="D3" t="s">
        <v>70</v>
      </c>
      <c r="E3">
        <v>5.6208076660000001</v>
      </c>
      <c r="F3">
        <v>5</v>
      </c>
      <c r="G3">
        <v>18</v>
      </c>
      <c r="H3">
        <v>47</v>
      </c>
      <c r="I3" t="s">
        <v>59</v>
      </c>
      <c r="J3" t="s">
        <v>60</v>
      </c>
      <c r="K3" s="4">
        <v>5.6</v>
      </c>
      <c r="L3" t="s">
        <v>63</v>
      </c>
      <c r="N3" t="s">
        <v>90</v>
      </c>
      <c r="O3" t="s">
        <v>90</v>
      </c>
      <c r="P3" t="s">
        <v>53</v>
      </c>
      <c r="Q3" t="s">
        <v>36</v>
      </c>
      <c r="R3">
        <v>6.1793292270000002</v>
      </c>
      <c r="S3">
        <v>0</v>
      </c>
      <c r="T3">
        <v>0</v>
      </c>
      <c r="V3" t="s">
        <v>34</v>
      </c>
      <c r="W3" t="s">
        <v>60</v>
      </c>
      <c r="X3" s="4">
        <v>6.2</v>
      </c>
      <c r="Y3" t="s">
        <v>39</v>
      </c>
    </row>
    <row r="4" spans="1:25" x14ac:dyDescent="0.35">
      <c r="A4" t="s">
        <v>83</v>
      </c>
      <c r="B4" t="s">
        <v>83</v>
      </c>
      <c r="C4" t="s">
        <v>53</v>
      </c>
      <c r="D4" t="s">
        <v>36</v>
      </c>
      <c r="E4">
        <v>5.8918548939999997</v>
      </c>
      <c r="F4">
        <v>20</v>
      </c>
      <c r="G4">
        <v>22</v>
      </c>
      <c r="H4">
        <v>148</v>
      </c>
      <c r="I4" t="s">
        <v>59</v>
      </c>
      <c r="J4" t="s">
        <v>60</v>
      </c>
      <c r="K4" s="4">
        <v>5.9</v>
      </c>
      <c r="L4" t="s">
        <v>63</v>
      </c>
      <c r="N4" t="s">
        <v>125</v>
      </c>
      <c r="O4" t="s">
        <v>125</v>
      </c>
      <c r="P4" t="s">
        <v>53</v>
      </c>
      <c r="Q4" t="s">
        <v>36</v>
      </c>
      <c r="R4">
        <v>8.2765229300000005</v>
      </c>
      <c r="S4">
        <v>0</v>
      </c>
      <c r="T4">
        <v>0</v>
      </c>
      <c r="V4" t="s">
        <v>34</v>
      </c>
      <c r="W4" t="s">
        <v>60</v>
      </c>
      <c r="X4" s="3">
        <v>8.3000000000000007</v>
      </c>
      <c r="Y4" t="s">
        <v>39</v>
      </c>
    </row>
    <row r="5" spans="1:25" x14ac:dyDescent="0.35">
      <c r="A5" t="s">
        <v>74</v>
      </c>
      <c r="B5" t="s">
        <v>74</v>
      </c>
      <c r="C5" t="s">
        <v>53</v>
      </c>
      <c r="D5" t="s">
        <v>36</v>
      </c>
      <c r="E5">
        <v>6.2176591380000001</v>
      </c>
      <c r="F5">
        <v>0</v>
      </c>
      <c r="G5">
        <v>7</v>
      </c>
      <c r="H5">
        <v>111</v>
      </c>
      <c r="I5" t="s">
        <v>59</v>
      </c>
      <c r="J5" t="s">
        <v>60</v>
      </c>
      <c r="K5" s="4">
        <v>6.2</v>
      </c>
      <c r="L5" t="s">
        <v>63</v>
      </c>
      <c r="N5" t="s">
        <v>132</v>
      </c>
      <c r="O5" t="s">
        <v>132</v>
      </c>
      <c r="P5" t="s">
        <v>53</v>
      </c>
      <c r="Q5" t="s">
        <v>36</v>
      </c>
      <c r="R5">
        <v>9.2128678990000008</v>
      </c>
      <c r="S5">
        <v>0</v>
      </c>
      <c r="T5">
        <v>0</v>
      </c>
      <c r="V5" t="s">
        <v>34</v>
      </c>
      <c r="W5" t="s">
        <v>60</v>
      </c>
      <c r="X5" s="2">
        <v>9.1999999999999993</v>
      </c>
      <c r="Y5" t="s">
        <v>39</v>
      </c>
    </row>
    <row r="6" spans="1:25" x14ac:dyDescent="0.35">
      <c r="A6" t="s">
        <v>92</v>
      </c>
      <c r="B6" t="s">
        <v>92</v>
      </c>
      <c r="C6" t="s">
        <v>53</v>
      </c>
      <c r="D6" t="s">
        <v>36</v>
      </c>
      <c r="E6">
        <v>6.1546885690000002</v>
      </c>
      <c r="F6">
        <v>5</v>
      </c>
      <c r="G6">
        <v>21</v>
      </c>
      <c r="H6">
        <v>291</v>
      </c>
      <c r="I6" t="s">
        <v>59</v>
      </c>
      <c r="J6" t="s">
        <v>60</v>
      </c>
      <c r="K6" s="4">
        <v>6.2</v>
      </c>
      <c r="L6" t="s">
        <v>63</v>
      </c>
      <c r="N6" t="s">
        <v>56</v>
      </c>
      <c r="O6" t="s">
        <v>56</v>
      </c>
      <c r="P6" t="s">
        <v>53</v>
      </c>
      <c r="Q6" t="s">
        <v>36</v>
      </c>
      <c r="R6">
        <v>9.4</v>
      </c>
      <c r="V6" t="s">
        <v>34</v>
      </c>
      <c r="W6" t="s">
        <v>47</v>
      </c>
      <c r="X6" s="2">
        <v>9.4</v>
      </c>
      <c r="Y6" t="s">
        <v>39</v>
      </c>
    </row>
    <row r="7" spans="1:25" x14ac:dyDescent="0.35">
      <c r="A7" t="s">
        <v>145</v>
      </c>
      <c r="B7" t="s">
        <v>145</v>
      </c>
      <c r="C7" t="s">
        <v>53</v>
      </c>
      <c r="D7" t="s">
        <v>36</v>
      </c>
      <c r="E7">
        <v>6.9431895959999999</v>
      </c>
      <c r="F7">
        <v>0</v>
      </c>
      <c r="G7">
        <v>21</v>
      </c>
      <c r="H7">
        <v>134</v>
      </c>
      <c r="I7" t="s">
        <v>59</v>
      </c>
      <c r="J7" t="s">
        <v>60</v>
      </c>
      <c r="K7">
        <v>6.9</v>
      </c>
      <c r="L7" t="s">
        <v>63</v>
      </c>
      <c r="N7" t="s">
        <v>175</v>
      </c>
      <c r="O7" t="s">
        <v>175</v>
      </c>
      <c r="P7" t="s">
        <v>53</v>
      </c>
      <c r="Q7" t="s">
        <v>36</v>
      </c>
      <c r="R7">
        <v>9.3853524979999996</v>
      </c>
      <c r="S7">
        <v>0</v>
      </c>
      <c r="T7">
        <v>0</v>
      </c>
      <c r="V7" t="s">
        <v>34</v>
      </c>
      <c r="W7" t="s">
        <v>60</v>
      </c>
      <c r="X7" s="2">
        <v>9.4</v>
      </c>
      <c r="Y7" t="s">
        <v>39</v>
      </c>
    </row>
    <row r="8" spans="1:25" x14ac:dyDescent="0.35">
      <c r="A8" t="s">
        <v>163</v>
      </c>
      <c r="B8" t="s">
        <v>163</v>
      </c>
      <c r="C8" t="s">
        <v>53</v>
      </c>
      <c r="D8" t="s">
        <v>70</v>
      </c>
      <c r="E8">
        <v>7.9370294320000001</v>
      </c>
      <c r="F8">
        <v>30</v>
      </c>
      <c r="G8">
        <v>11</v>
      </c>
      <c r="H8">
        <v>185</v>
      </c>
      <c r="I8" t="s">
        <v>59</v>
      </c>
      <c r="J8" t="s">
        <v>60</v>
      </c>
      <c r="K8" s="3">
        <v>7.9</v>
      </c>
      <c r="L8" t="s">
        <v>63</v>
      </c>
      <c r="N8" t="s">
        <v>54</v>
      </c>
      <c r="O8" t="s">
        <v>54</v>
      </c>
      <c r="P8" t="s">
        <v>53</v>
      </c>
      <c r="Q8" t="s">
        <v>36</v>
      </c>
      <c r="R8">
        <v>9.6999999999999993</v>
      </c>
      <c r="V8" t="s">
        <v>34</v>
      </c>
      <c r="W8" t="s">
        <v>47</v>
      </c>
      <c r="X8" s="2">
        <v>9.6999999999999993</v>
      </c>
      <c r="Y8" t="s">
        <v>39</v>
      </c>
    </row>
    <row r="9" spans="1:25" x14ac:dyDescent="0.35">
      <c r="A9" t="s">
        <v>110</v>
      </c>
      <c r="B9" t="s">
        <v>110</v>
      </c>
      <c r="C9" t="s">
        <v>53</v>
      </c>
      <c r="D9" t="s">
        <v>36</v>
      </c>
      <c r="E9">
        <v>8.8788501029999995</v>
      </c>
      <c r="F9">
        <v>5</v>
      </c>
      <c r="G9">
        <v>10</v>
      </c>
      <c r="H9">
        <v>174</v>
      </c>
      <c r="I9" t="s">
        <v>59</v>
      </c>
      <c r="J9" t="s">
        <v>60</v>
      </c>
      <c r="K9" s="2">
        <v>8.9</v>
      </c>
      <c r="L9" t="s">
        <v>63</v>
      </c>
      <c r="N9" t="s">
        <v>52</v>
      </c>
      <c r="O9" t="s">
        <v>52</v>
      </c>
      <c r="P9" t="s">
        <v>53</v>
      </c>
      <c r="Q9" t="s">
        <v>36</v>
      </c>
      <c r="R9">
        <v>9.8000000000000007</v>
      </c>
      <c r="V9" t="s">
        <v>34</v>
      </c>
      <c r="W9" t="s">
        <v>47</v>
      </c>
      <c r="X9" s="2">
        <v>9.8000000000000007</v>
      </c>
      <c r="Y9" t="s">
        <v>39</v>
      </c>
    </row>
    <row r="10" spans="1:25" x14ac:dyDescent="0.35">
      <c r="A10" t="s">
        <v>128</v>
      </c>
      <c r="B10" t="s">
        <v>128</v>
      </c>
      <c r="C10" t="s">
        <v>53</v>
      </c>
      <c r="D10" t="s">
        <v>36</v>
      </c>
      <c r="E10">
        <v>9.1362080769999992</v>
      </c>
      <c r="F10">
        <v>0</v>
      </c>
      <c r="G10">
        <v>24</v>
      </c>
      <c r="H10">
        <v>227</v>
      </c>
      <c r="I10" t="s">
        <v>59</v>
      </c>
      <c r="J10" t="s">
        <v>60</v>
      </c>
      <c r="K10" s="2">
        <v>9.1</v>
      </c>
      <c r="L10" t="s">
        <v>63</v>
      </c>
      <c r="N10" t="s">
        <v>55</v>
      </c>
      <c r="O10" t="s">
        <v>55</v>
      </c>
      <c r="P10" t="s">
        <v>53</v>
      </c>
      <c r="Q10" t="s">
        <v>36</v>
      </c>
      <c r="R10">
        <v>10.1</v>
      </c>
      <c r="V10" t="s">
        <v>34</v>
      </c>
      <c r="W10" t="s">
        <v>47</v>
      </c>
      <c r="X10" s="2">
        <v>10.1</v>
      </c>
      <c r="Y10" t="s">
        <v>39</v>
      </c>
    </row>
    <row r="11" spans="1:25" x14ac:dyDescent="0.35">
      <c r="A11" t="s">
        <v>170</v>
      </c>
      <c r="B11" t="s">
        <v>170</v>
      </c>
      <c r="C11" t="s">
        <v>53</v>
      </c>
      <c r="D11" t="s">
        <v>36</v>
      </c>
      <c r="E11">
        <v>9.3908281999999996</v>
      </c>
      <c r="F11">
        <v>20</v>
      </c>
      <c r="G11">
        <v>19</v>
      </c>
      <c r="H11">
        <v>201</v>
      </c>
      <c r="I11" t="s">
        <v>59</v>
      </c>
      <c r="J11" t="s">
        <v>60</v>
      </c>
      <c r="K11" s="2">
        <v>9.4</v>
      </c>
      <c r="L11" t="s">
        <v>63</v>
      </c>
    </row>
    <row r="12" spans="1:25" x14ac:dyDescent="0.35">
      <c r="A12" t="s">
        <v>89</v>
      </c>
      <c r="B12" t="s">
        <v>89</v>
      </c>
      <c r="C12" t="s">
        <v>53</v>
      </c>
      <c r="D12" t="s">
        <v>36</v>
      </c>
      <c r="E12">
        <v>9.4866529770000003</v>
      </c>
      <c r="F12">
        <v>0</v>
      </c>
      <c r="G12">
        <v>12</v>
      </c>
      <c r="H12">
        <v>333</v>
      </c>
      <c r="I12" t="s">
        <v>59</v>
      </c>
      <c r="J12" t="s">
        <v>60</v>
      </c>
      <c r="K12" s="2">
        <v>9.5</v>
      </c>
      <c r="L12" t="s">
        <v>63</v>
      </c>
    </row>
    <row r="13" spans="1:25" x14ac:dyDescent="0.35">
      <c r="A13" t="s">
        <v>168</v>
      </c>
      <c r="B13" t="s">
        <v>168</v>
      </c>
      <c r="C13" t="s">
        <v>53</v>
      </c>
      <c r="D13" t="s">
        <v>36</v>
      </c>
      <c r="E13">
        <v>9.8945927450000006</v>
      </c>
      <c r="F13">
        <v>10</v>
      </c>
      <c r="G13">
        <v>13</v>
      </c>
      <c r="H13">
        <v>93</v>
      </c>
      <c r="I13" t="s">
        <v>59</v>
      </c>
      <c r="J13" t="s">
        <v>60</v>
      </c>
      <c r="K13" s="2">
        <v>9.9</v>
      </c>
      <c r="L13" t="s">
        <v>63</v>
      </c>
    </row>
    <row r="14" spans="1:25" x14ac:dyDescent="0.35">
      <c r="A14" t="s">
        <v>114</v>
      </c>
      <c r="B14" t="s">
        <v>115</v>
      </c>
      <c r="C14" t="s">
        <v>53</v>
      </c>
      <c r="D14" t="s">
        <v>36</v>
      </c>
      <c r="E14">
        <v>10.23408624</v>
      </c>
      <c r="F14">
        <v>10</v>
      </c>
      <c r="G14">
        <v>16</v>
      </c>
      <c r="H14">
        <v>253</v>
      </c>
      <c r="I14" t="s">
        <v>59</v>
      </c>
      <c r="J14" t="s">
        <v>60</v>
      </c>
      <c r="K14" s="2">
        <v>10.199999999999999</v>
      </c>
      <c r="L14" t="s">
        <v>63</v>
      </c>
    </row>
    <row r="15" spans="1:25" x14ac:dyDescent="0.35">
      <c r="A15" t="s">
        <v>173</v>
      </c>
      <c r="B15" t="s">
        <v>173</v>
      </c>
      <c r="C15" t="s">
        <v>53</v>
      </c>
      <c r="D15" t="s">
        <v>36</v>
      </c>
      <c r="E15">
        <v>10.92676249</v>
      </c>
      <c r="F15">
        <v>20</v>
      </c>
      <c r="G15">
        <v>26</v>
      </c>
      <c r="H15">
        <v>354</v>
      </c>
      <c r="I15" t="s">
        <v>59</v>
      </c>
      <c r="J15" t="s">
        <v>60</v>
      </c>
      <c r="K15" s="2">
        <v>10.9</v>
      </c>
      <c r="L15" t="s">
        <v>63</v>
      </c>
    </row>
    <row r="22" spans="1:28" x14ac:dyDescent="0.35">
      <c r="N22" t="s">
        <v>0</v>
      </c>
      <c r="O22" t="s">
        <v>1</v>
      </c>
      <c r="P22" t="s">
        <v>3</v>
      </c>
      <c r="Q22" t="s">
        <v>4</v>
      </c>
      <c r="R22" t="s">
        <v>5</v>
      </c>
      <c r="S22" t="s">
        <v>6</v>
      </c>
      <c r="T22" t="s">
        <v>7</v>
      </c>
      <c r="U22" t="s">
        <v>8</v>
      </c>
      <c r="V22" t="s">
        <v>9</v>
      </c>
      <c r="W22" t="s">
        <v>11</v>
      </c>
      <c r="X22" t="s">
        <v>14</v>
      </c>
      <c r="Y22" t="s">
        <v>17</v>
      </c>
      <c r="AA22" t="s">
        <v>16</v>
      </c>
      <c r="AB22" t="s">
        <v>186</v>
      </c>
    </row>
    <row r="23" spans="1:28" x14ac:dyDescent="0.35">
      <c r="A23" t="s">
        <v>78</v>
      </c>
      <c r="B23" t="s">
        <v>78</v>
      </c>
      <c r="C23" t="s">
        <v>53</v>
      </c>
      <c r="D23" t="s">
        <v>70</v>
      </c>
      <c r="E23">
        <v>5.6208076660000001</v>
      </c>
      <c r="F23">
        <v>5</v>
      </c>
      <c r="G23">
        <v>18</v>
      </c>
      <c r="H23">
        <v>47</v>
      </c>
      <c r="I23" t="s">
        <v>59</v>
      </c>
      <c r="J23" t="s">
        <v>60</v>
      </c>
      <c r="K23" s="4">
        <v>5.6</v>
      </c>
      <c r="L23" t="s">
        <v>63</v>
      </c>
      <c r="N23" t="s">
        <v>139</v>
      </c>
      <c r="O23" t="s">
        <v>139</v>
      </c>
      <c r="P23" t="s">
        <v>53</v>
      </c>
      <c r="Q23" t="s">
        <v>70</v>
      </c>
      <c r="R23">
        <v>6.0506502400000004</v>
      </c>
      <c r="S23">
        <v>0</v>
      </c>
      <c r="T23">
        <v>0</v>
      </c>
      <c r="V23" t="s">
        <v>34</v>
      </c>
      <c r="W23" t="s">
        <v>60</v>
      </c>
      <c r="X23" s="4">
        <v>6.1</v>
      </c>
      <c r="Y23" t="s">
        <v>39</v>
      </c>
      <c r="AA23">
        <f>K23-X23</f>
        <v>-0.5</v>
      </c>
      <c r="AB23">
        <f>ABS(AA23)</f>
        <v>0.5</v>
      </c>
    </row>
    <row r="24" spans="1:28" x14ac:dyDescent="0.35">
      <c r="A24" t="s">
        <v>74</v>
      </c>
      <c r="B24" t="s">
        <v>74</v>
      </c>
      <c r="C24" t="s">
        <v>53</v>
      </c>
      <c r="D24" t="s">
        <v>36</v>
      </c>
      <c r="E24">
        <v>6.2176591380000001</v>
      </c>
      <c r="F24">
        <v>0</v>
      </c>
      <c r="G24">
        <v>7</v>
      </c>
      <c r="H24">
        <v>111</v>
      </c>
      <c r="I24" t="s">
        <v>59</v>
      </c>
      <c r="J24" t="s">
        <v>60</v>
      </c>
      <c r="K24" s="4">
        <v>6.2</v>
      </c>
      <c r="L24" t="s">
        <v>63</v>
      </c>
      <c r="N24" t="s">
        <v>90</v>
      </c>
      <c r="O24" t="s">
        <v>90</v>
      </c>
      <c r="P24" t="s">
        <v>53</v>
      </c>
      <c r="Q24" t="s">
        <v>36</v>
      </c>
      <c r="R24">
        <v>6.1793292270000002</v>
      </c>
      <c r="S24">
        <v>0</v>
      </c>
      <c r="T24">
        <v>0</v>
      </c>
      <c r="V24" t="s">
        <v>34</v>
      </c>
      <c r="W24" t="s">
        <v>60</v>
      </c>
      <c r="X24" s="4">
        <v>6.2</v>
      </c>
      <c r="Y24" t="s">
        <v>39</v>
      </c>
      <c r="AA24">
        <f>K24-X24</f>
        <v>0</v>
      </c>
      <c r="AB24">
        <f t="shared" ref="AB24:AB31" si="0">ABS(AA24)</f>
        <v>0</v>
      </c>
    </row>
    <row r="25" spans="1:28" x14ac:dyDescent="0.35">
      <c r="A25" t="s">
        <v>110</v>
      </c>
      <c r="B25" t="s">
        <v>110</v>
      </c>
      <c r="C25" t="s">
        <v>53</v>
      </c>
      <c r="D25" t="s">
        <v>36</v>
      </c>
      <c r="E25">
        <v>8.8788501029999995</v>
      </c>
      <c r="F25">
        <v>5</v>
      </c>
      <c r="G25">
        <v>10</v>
      </c>
      <c r="H25">
        <v>174</v>
      </c>
      <c r="I25" t="s">
        <v>59</v>
      </c>
      <c r="J25" t="s">
        <v>60</v>
      </c>
      <c r="K25" s="3">
        <v>8.9</v>
      </c>
      <c r="L25" t="s">
        <v>63</v>
      </c>
      <c r="N25" t="s">
        <v>125</v>
      </c>
      <c r="O25" t="s">
        <v>125</v>
      </c>
      <c r="P25" t="s">
        <v>53</v>
      </c>
      <c r="Q25" t="s">
        <v>36</v>
      </c>
      <c r="R25">
        <v>8.2765229300000005</v>
      </c>
      <c r="S25">
        <v>0</v>
      </c>
      <c r="T25">
        <v>0</v>
      </c>
      <c r="V25" t="s">
        <v>34</v>
      </c>
      <c r="W25" t="s">
        <v>60</v>
      </c>
      <c r="X25" s="3">
        <v>8.3000000000000007</v>
      </c>
      <c r="Y25" t="s">
        <v>39</v>
      </c>
      <c r="AA25">
        <f>K25-X25</f>
        <v>0.59999999999999964</v>
      </c>
      <c r="AB25">
        <f t="shared" si="0"/>
        <v>0.59999999999999964</v>
      </c>
    </row>
    <row r="26" spans="1:28" x14ac:dyDescent="0.35">
      <c r="A26" t="s">
        <v>128</v>
      </c>
      <c r="B26" t="s">
        <v>128</v>
      </c>
      <c r="C26" t="s">
        <v>53</v>
      </c>
      <c r="D26" t="s">
        <v>36</v>
      </c>
      <c r="E26">
        <v>9.1362080769999992</v>
      </c>
      <c r="F26">
        <v>0</v>
      </c>
      <c r="G26">
        <v>24</v>
      </c>
      <c r="H26">
        <v>227</v>
      </c>
      <c r="I26" t="s">
        <v>59</v>
      </c>
      <c r="J26" t="s">
        <v>60</v>
      </c>
      <c r="K26" s="2">
        <v>9.1</v>
      </c>
      <c r="L26" t="s">
        <v>63</v>
      </c>
      <c r="N26" t="s">
        <v>132</v>
      </c>
      <c r="O26" t="s">
        <v>132</v>
      </c>
      <c r="P26" t="s">
        <v>53</v>
      </c>
      <c r="Q26" t="s">
        <v>36</v>
      </c>
      <c r="R26">
        <v>9.2128678990000008</v>
      </c>
      <c r="S26">
        <v>0</v>
      </c>
      <c r="T26">
        <v>0</v>
      </c>
      <c r="V26" t="s">
        <v>34</v>
      </c>
      <c r="W26" t="s">
        <v>60</v>
      </c>
      <c r="X26" s="2">
        <v>9.1999999999999993</v>
      </c>
      <c r="Y26" t="s">
        <v>39</v>
      </c>
      <c r="AA26">
        <f>K26-X26</f>
        <v>-9.9999999999999645E-2</v>
      </c>
      <c r="AB26">
        <f t="shared" si="0"/>
        <v>9.9999999999999645E-2</v>
      </c>
    </row>
    <row r="27" spans="1:28" x14ac:dyDescent="0.35">
      <c r="A27" t="s">
        <v>170</v>
      </c>
      <c r="B27" t="s">
        <v>170</v>
      </c>
      <c r="C27" t="s">
        <v>53</v>
      </c>
      <c r="D27" t="s">
        <v>36</v>
      </c>
      <c r="E27">
        <v>9.3908281999999996</v>
      </c>
      <c r="F27">
        <v>20</v>
      </c>
      <c r="G27">
        <v>19</v>
      </c>
      <c r="H27">
        <v>201</v>
      </c>
      <c r="I27" t="s">
        <v>59</v>
      </c>
      <c r="J27" t="s">
        <v>60</v>
      </c>
      <c r="K27" s="2">
        <v>9.4</v>
      </c>
      <c r="L27" t="s">
        <v>63</v>
      </c>
      <c r="N27" t="s">
        <v>56</v>
      </c>
      <c r="O27" t="s">
        <v>56</v>
      </c>
      <c r="P27" t="s">
        <v>53</v>
      </c>
      <c r="Q27" t="s">
        <v>36</v>
      </c>
      <c r="R27">
        <v>9.4</v>
      </c>
      <c r="V27" t="s">
        <v>34</v>
      </c>
      <c r="W27" t="s">
        <v>47</v>
      </c>
      <c r="X27" s="2">
        <v>9.4</v>
      </c>
      <c r="Y27" t="s">
        <v>39</v>
      </c>
      <c r="AA27">
        <f>K27-X27</f>
        <v>0</v>
      </c>
      <c r="AB27">
        <f t="shared" si="0"/>
        <v>0</v>
      </c>
    </row>
    <row r="28" spans="1:28" x14ac:dyDescent="0.35">
      <c r="A28" t="s">
        <v>89</v>
      </c>
      <c r="B28" t="s">
        <v>89</v>
      </c>
      <c r="C28" t="s">
        <v>53</v>
      </c>
      <c r="D28" t="s">
        <v>36</v>
      </c>
      <c r="E28">
        <v>9.4866529770000003</v>
      </c>
      <c r="F28">
        <v>0</v>
      </c>
      <c r="G28">
        <v>12</v>
      </c>
      <c r="H28">
        <v>333</v>
      </c>
      <c r="I28" t="s">
        <v>59</v>
      </c>
      <c r="J28" t="s">
        <v>60</v>
      </c>
      <c r="K28" s="2">
        <v>9.5</v>
      </c>
      <c r="L28" t="s">
        <v>63</v>
      </c>
      <c r="N28" t="s">
        <v>175</v>
      </c>
      <c r="O28" t="s">
        <v>175</v>
      </c>
      <c r="P28" t="s">
        <v>53</v>
      </c>
      <c r="Q28" t="s">
        <v>36</v>
      </c>
      <c r="R28">
        <v>9.3853524979999996</v>
      </c>
      <c r="S28">
        <v>0</v>
      </c>
      <c r="T28">
        <v>0</v>
      </c>
      <c r="V28" t="s">
        <v>34</v>
      </c>
      <c r="W28" t="s">
        <v>60</v>
      </c>
      <c r="X28" s="2">
        <v>9.4</v>
      </c>
      <c r="Y28" t="s">
        <v>39</v>
      </c>
      <c r="AA28">
        <f>K28-X28</f>
        <v>9.9999999999999645E-2</v>
      </c>
      <c r="AB28">
        <f t="shared" si="0"/>
        <v>9.9999999999999645E-2</v>
      </c>
    </row>
    <row r="29" spans="1:28" x14ac:dyDescent="0.35">
      <c r="A29" t="s">
        <v>168</v>
      </c>
      <c r="B29" t="s">
        <v>168</v>
      </c>
      <c r="C29" t="s">
        <v>53</v>
      </c>
      <c r="D29" t="s">
        <v>36</v>
      </c>
      <c r="E29">
        <v>9.8945927450000006</v>
      </c>
      <c r="F29">
        <v>10</v>
      </c>
      <c r="G29">
        <v>13</v>
      </c>
      <c r="H29">
        <v>93</v>
      </c>
      <c r="I29" t="s">
        <v>59</v>
      </c>
      <c r="J29" t="s">
        <v>60</v>
      </c>
      <c r="K29" s="2">
        <v>9.9</v>
      </c>
      <c r="L29" t="s">
        <v>63</v>
      </c>
      <c r="N29" t="s">
        <v>54</v>
      </c>
      <c r="O29" t="s">
        <v>54</v>
      </c>
      <c r="P29" t="s">
        <v>53</v>
      </c>
      <c r="Q29" t="s">
        <v>36</v>
      </c>
      <c r="R29">
        <v>9.6999999999999993</v>
      </c>
      <c r="V29" t="s">
        <v>34</v>
      </c>
      <c r="W29" t="s">
        <v>47</v>
      </c>
      <c r="X29" s="2">
        <v>9.6999999999999993</v>
      </c>
      <c r="Y29" t="s">
        <v>39</v>
      </c>
      <c r="AA29">
        <f>K29-X29</f>
        <v>0.20000000000000107</v>
      </c>
      <c r="AB29">
        <f t="shared" si="0"/>
        <v>0.20000000000000107</v>
      </c>
    </row>
    <row r="30" spans="1:28" x14ac:dyDescent="0.35">
      <c r="A30" t="s">
        <v>114</v>
      </c>
      <c r="B30" t="s">
        <v>115</v>
      </c>
      <c r="C30" t="s">
        <v>53</v>
      </c>
      <c r="D30" t="s">
        <v>36</v>
      </c>
      <c r="E30">
        <v>10.23408624</v>
      </c>
      <c r="F30">
        <v>10</v>
      </c>
      <c r="G30">
        <v>16</v>
      </c>
      <c r="H30">
        <v>253</v>
      </c>
      <c r="I30" t="s">
        <v>59</v>
      </c>
      <c r="J30" t="s">
        <v>60</v>
      </c>
      <c r="K30" s="2">
        <v>10.199999999999999</v>
      </c>
      <c r="L30" t="s">
        <v>63</v>
      </c>
      <c r="N30" t="s">
        <v>52</v>
      </c>
      <c r="O30" t="s">
        <v>52</v>
      </c>
      <c r="P30" t="s">
        <v>53</v>
      </c>
      <c r="Q30" t="s">
        <v>36</v>
      </c>
      <c r="R30">
        <v>9.8000000000000007</v>
      </c>
      <c r="V30" t="s">
        <v>34</v>
      </c>
      <c r="W30" t="s">
        <v>47</v>
      </c>
      <c r="X30" s="2">
        <v>9.8000000000000007</v>
      </c>
      <c r="Y30" t="s">
        <v>39</v>
      </c>
      <c r="AA30">
        <f>K30-X30</f>
        <v>0.39999999999999858</v>
      </c>
      <c r="AB30">
        <f t="shared" si="0"/>
        <v>0.39999999999999858</v>
      </c>
    </row>
    <row r="31" spans="1:28" x14ac:dyDescent="0.35">
      <c r="A31" t="s">
        <v>173</v>
      </c>
      <c r="B31" t="s">
        <v>173</v>
      </c>
      <c r="C31" t="s">
        <v>53</v>
      </c>
      <c r="D31" t="s">
        <v>36</v>
      </c>
      <c r="E31">
        <v>10.92676249</v>
      </c>
      <c r="F31">
        <v>20</v>
      </c>
      <c r="G31">
        <v>26</v>
      </c>
      <c r="H31">
        <v>354</v>
      </c>
      <c r="I31" t="s">
        <v>59</v>
      </c>
      <c r="J31" t="s">
        <v>60</v>
      </c>
      <c r="K31" s="2">
        <v>10.9</v>
      </c>
      <c r="L31" t="s">
        <v>63</v>
      </c>
      <c r="N31" t="s">
        <v>55</v>
      </c>
      <c r="O31" t="s">
        <v>55</v>
      </c>
      <c r="P31" t="s">
        <v>53</v>
      </c>
      <c r="Q31" t="s">
        <v>36</v>
      </c>
      <c r="R31">
        <v>10.1</v>
      </c>
      <c r="V31" t="s">
        <v>34</v>
      </c>
      <c r="W31" t="s">
        <v>47</v>
      </c>
      <c r="X31" s="2">
        <v>10.1</v>
      </c>
      <c r="Y31" t="s">
        <v>39</v>
      </c>
      <c r="AA31">
        <f>K31-X31</f>
        <v>0.80000000000000071</v>
      </c>
      <c r="AB31">
        <f t="shared" si="0"/>
        <v>0.80000000000000071</v>
      </c>
    </row>
    <row r="33" spans="27:29" x14ac:dyDescent="0.35">
      <c r="AA33">
        <f>MIN(AA23:AA31)</f>
        <v>-0.5</v>
      </c>
      <c r="AB33">
        <f>MIN(AB23:AB31)</f>
        <v>0</v>
      </c>
      <c r="AC33" s="5" t="s">
        <v>187</v>
      </c>
    </row>
    <row r="34" spans="27:29" x14ac:dyDescent="0.35">
      <c r="AA34" s="6">
        <f>MEDIAN(AA23:AA31)</f>
        <v>9.9999999999999645E-2</v>
      </c>
      <c r="AB34" s="6">
        <f>MEDIAN(AB23:AB31)</f>
        <v>0.20000000000000107</v>
      </c>
      <c r="AC34" s="5" t="s">
        <v>184</v>
      </c>
    </row>
    <row r="35" spans="27:29" x14ac:dyDescent="0.35">
      <c r="AA35" s="7">
        <f>AVERAGE(AA23:AA31)</f>
        <v>0.16666666666666666</v>
      </c>
      <c r="AB35" s="6">
        <f>AVERAGE(AB23:AB31)</f>
        <v>0.29999999999999993</v>
      </c>
      <c r="AC35" s="5" t="s">
        <v>185</v>
      </c>
    </row>
    <row r="36" spans="27:29" x14ac:dyDescent="0.35">
      <c r="AA36" s="6">
        <f>MAX(AA23:AA31)</f>
        <v>0.80000000000000071</v>
      </c>
      <c r="AB36" s="6">
        <f>MAX(AB23:AB31)</f>
        <v>0.80000000000000071</v>
      </c>
      <c r="AC36" s="5" t="s">
        <v>183</v>
      </c>
    </row>
  </sheetData>
  <sortState xmlns:xlrd2="http://schemas.microsoft.com/office/spreadsheetml/2017/richdata2" ref="N2:Y24">
    <sortCondition ref="V2:V24"/>
    <sortCondition ref="X2:X24"/>
  </sortState>
  <conditionalFormatting sqref="Q2:Q10">
    <cfRule type="cellIs" dxfId="83" priority="10" operator="notEqual">
      <formula>"R"</formula>
    </cfRule>
  </conditionalFormatting>
  <conditionalFormatting sqref="D2:D15">
    <cfRule type="cellIs" dxfId="82" priority="9" operator="notEqual">
      <formula>"R"</formula>
    </cfRule>
  </conditionalFormatting>
  <conditionalFormatting sqref="Q23">
    <cfRule type="cellIs" dxfId="81" priority="8" operator="notEqual">
      <formula>"R"</formula>
    </cfRule>
  </conditionalFormatting>
  <conditionalFormatting sqref="D23">
    <cfRule type="cellIs" dxfId="80" priority="7" operator="notEqual">
      <formula>"R"</formula>
    </cfRule>
  </conditionalFormatting>
  <conditionalFormatting sqref="Q24">
    <cfRule type="cellIs" dxfId="79" priority="6" operator="notEqual">
      <formula>"R"</formula>
    </cfRule>
  </conditionalFormatting>
  <conditionalFormatting sqref="D24">
    <cfRule type="cellIs" dxfId="78" priority="5" operator="notEqual">
      <formula>"R"</formula>
    </cfRule>
  </conditionalFormatting>
  <conditionalFormatting sqref="Q25">
    <cfRule type="cellIs" dxfId="77" priority="4" operator="notEqual">
      <formula>"R"</formula>
    </cfRule>
  </conditionalFormatting>
  <conditionalFormatting sqref="Q26:Q31">
    <cfRule type="cellIs" dxfId="76" priority="3" operator="notEqual">
      <formula>"R"</formula>
    </cfRule>
  </conditionalFormatting>
  <conditionalFormatting sqref="D25">
    <cfRule type="cellIs" dxfId="75" priority="2" operator="notEqual">
      <formula>"R"</formula>
    </cfRule>
  </conditionalFormatting>
  <conditionalFormatting sqref="D26:D31">
    <cfRule type="cellIs" dxfId="74" priority="1" operator="notEqual">
      <formula>"R"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514F-8632-4D1F-8159-B6A302CCA9DD}">
  <dimension ref="A1:AC79"/>
  <sheetViews>
    <sheetView workbookViewId="0">
      <selection activeCell="T34" sqref="T34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14</v>
      </c>
      <c r="L1" t="s">
        <v>17</v>
      </c>
      <c r="N1" t="s">
        <v>0</v>
      </c>
      <c r="O1" t="s">
        <v>1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11</v>
      </c>
      <c r="X1" t="s">
        <v>14</v>
      </c>
      <c r="Y1" t="s">
        <v>17</v>
      </c>
      <c r="Z1" s="5" t="s">
        <v>188</v>
      </c>
    </row>
    <row r="2" spans="1:26" x14ac:dyDescent="0.35">
      <c r="A2" t="s">
        <v>152</v>
      </c>
      <c r="B2" t="s">
        <v>152</v>
      </c>
      <c r="C2" t="s">
        <v>35</v>
      </c>
      <c r="D2" t="s">
        <v>36</v>
      </c>
      <c r="E2">
        <v>5.0212183440000002</v>
      </c>
      <c r="F2">
        <v>0</v>
      </c>
      <c r="G2">
        <v>15</v>
      </c>
      <c r="H2">
        <v>365</v>
      </c>
      <c r="I2" t="s">
        <v>59</v>
      </c>
      <c r="J2" t="s">
        <v>60</v>
      </c>
      <c r="K2">
        <v>5</v>
      </c>
      <c r="L2" t="s">
        <v>63</v>
      </c>
      <c r="N2" t="s">
        <v>179</v>
      </c>
      <c r="O2" t="s">
        <v>179</v>
      </c>
      <c r="P2" t="s">
        <v>35</v>
      </c>
      <c r="Q2" t="s">
        <v>36</v>
      </c>
      <c r="R2">
        <v>5.667351129</v>
      </c>
      <c r="S2">
        <v>0</v>
      </c>
      <c r="T2">
        <v>0</v>
      </c>
      <c r="V2" t="s">
        <v>34</v>
      </c>
      <c r="W2" t="s">
        <v>60</v>
      </c>
      <c r="X2">
        <v>5.7</v>
      </c>
      <c r="Y2" t="s">
        <v>39</v>
      </c>
      <c r="Z2">
        <f>COUNTIFS(K$2:K$45,"&gt;"&amp;X2 -1,K$2:K$45,"&lt;"&amp;X2 +1)</f>
        <v>15</v>
      </c>
    </row>
    <row r="3" spans="1:26" x14ac:dyDescent="0.35">
      <c r="A3" t="s">
        <v>167</v>
      </c>
      <c r="B3" t="s">
        <v>167</v>
      </c>
      <c r="C3" t="s">
        <v>35</v>
      </c>
      <c r="D3" t="s">
        <v>36</v>
      </c>
      <c r="E3">
        <v>5.0568104040000001</v>
      </c>
      <c r="F3">
        <v>10</v>
      </c>
      <c r="G3">
        <v>10</v>
      </c>
      <c r="H3">
        <v>167</v>
      </c>
      <c r="I3" t="s">
        <v>59</v>
      </c>
      <c r="J3" t="s">
        <v>60</v>
      </c>
      <c r="K3">
        <v>5.0999999999999996</v>
      </c>
      <c r="L3" t="s">
        <v>63</v>
      </c>
      <c r="N3" t="s">
        <v>46</v>
      </c>
      <c r="O3" t="s">
        <v>46</v>
      </c>
      <c r="P3" t="s">
        <v>35</v>
      </c>
      <c r="Q3" t="s">
        <v>36</v>
      </c>
      <c r="R3">
        <v>6.1</v>
      </c>
      <c r="V3" t="s">
        <v>34</v>
      </c>
      <c r="W3" t="s">
        <v>47</v>
      </c>
      <c r="X3">
        <v>6.1</v>
      </c>
      <c r="Y3" t="s">
        <v>39</v>
      </c>
      <c r="Z3">
        <f>COUNTIFS(K$2:K$45,"&gt;"&amp;X3 -1,K$2:K$45,"&lt;"&amp;X3 +1)</f>
        <v>14</v>
      </c>
    </row>
    <row r="4" spans="1:26" x14ac:dyDescent="0.35">
      <c r="A4" t="s">
        <v>154</v>
      </c>
      <c r="B4" t="s">
        <v>154</v>
      </c>
      <c r="C4" t="s">
        <v>35</v>
      </c>
      <c r="D4" t="s">
        <v>70</v>
      </c>
      <c r="E4">
        <v>5.2101300479999999</v>
      </c>
      <c r="F4">
        <v>0</v>
      </c>
      <c r="G4">
        <v>20</v>
      </c>
      <c r="H4">
        <v>133</v>
      </c>
      <c r="I4" t="s">
        <v>59</v>
      </c>
      <c r="J4" t="s">
        <v>60</v>
      </c>
      <c r="K4">
        <v>5.2</v>
      </c>
      <c r="L4" t="s">
        <v>63</v>
      </c>
      <c r="N4" t="s">
        <v>101</v>
      </c>
      <c r="O4" t="s">
        <v>101</v>
      </c>
      <c r="P4" t="s">
        <v>35</v>
      </c>
      <c r="Q4" t="s">
        <v>36</v>
      </c>
      <c r="R4">
        <v>6.0752908970000004</v>
      </c>
      <c r="S4">
        <v>0</v>
      </c>
      <c r="T4">
        <v>0</v>
      </c>
      <c r="V4" t="s">
        <v>34</v>
      </c>
      <c r="W4" t="s">
        <v>60</v>
      </c>
      <c r="X4">
        <v>6.1</v>
      </c>
      <c r="Y4" t="s">
        <v>39</v>
      </c>
      <c r="Z4">
        <f t="shared" ref="Z4:Z27" si="0">COUNTIFS(K$2:K$45,"&gt;"&amp;X4 -1,K$2:K$45,"&lt;"&amp;X4 +1)</f>
        <v>14</v>
      </c>
    </row>
    <row r="5" spans="1:26" x14ac:dyDescent="0.35">
      <c r="A5" t="s">
        <v>68</v>
      </c>
      <c r="B5" t="s">
        <v>68</v>
      </c>
      <c r="C5" t="s">
        <v>35</v>
      </c>
      <c r="D5" t="s">
        <v>36</v>
      </c>
      <c r="E5">
        <v>5.700205339</v>
      </c>
      <c r="F5">
        <v>0</v>
      </c>
      <c r="G5">
        <v>13</v>
      </c>
      <c r="H5">
        <v>111</v>
      </c>
      <c r="I5" t="s">
        <v>59</v>
      </c>
      <c r="J5" t="s">
        <v>60</v>
      </c>
      <c r="K5">
        <v>5.7</v>
      </c>
      <c r="L5" t="s">
        <v>63</v>
      </c>
      <c r="N5" t="s">
        <v>103</v>
      </c>
      <c r="O5" t="s">
        <v>103</v>
      </c>
      <c r="P5" t="s">
        <v>35</v>
      </c>
      <c r="Q5" t="s">
        <v>36</v>
      </c>
      <c r="R5">
        <v>6.5681040380000004</v>
      </c>
      <c r="S5">
        <v>0</v>
      </c>
      <c r="T5">
        <v>0</v>
      </c>
      <c r="V5" t="s">
        <v>34</v>
      </c>
      <c r="W5" t="s">
        <v>60</v>
      </c>
      <c r="X5">
        <v>6.6</v>
      </c>
      <c r="Y5" t="s">
        <v>39</v>
      </c>
      <c r="Z5">
        <f t="shared" si="0"/>
        <v>15</v>
      </c>
    </row>
    <row r="6" spans="1:26" x14ac:dyDescent="0.35">
      <c r="A6" t="s">
        <v>142</v>
      </c>
      <c r="B6" t="s">
        <v>142</v>
      </c>
      <c r="C6" t="s">
        <v>35</v>
      </c>
      <c r="D6" t="s">
        <v>36</v>
      </c>
      <c r="E6">
        <v>5.7768651609999999</v>
      </c>
      <c r="F6">
        <v>0</v>
      </c>
      <c r="G6">
        <v>21</v>
      </c>
      <c r="H6">
        <v>142</v>
      </c>
      <c r="I6" t="s">
        <v>59</v>
      </c>
      <c r="J6" t="s">
        <v>60</v>
      </c>
      <c r="K6">
        <v>5.8</v>
      </c>
      <c r="L6" t="s">
        <v>63</v>
      </c>
      <c r="N6" t="s">
        <v>105</v>
      </c>
      <c r="O6" t="s">
        <v>105</v>
      </c>
      <c r="P6" t="s">
        <v>35</v>
      </c>
      <c r="Q6" t="s">
        <v>36</v>
      </c>
      <c r="R6">
        <v>6.6748802190000003</v>
      </c>
      <c r="S6">
        <v>0</v>
      </c>
      <c r="T6">
        <v>0</v>
      </c>
      <c r="V6" t="s">
        <v>34</v>
      </c>
      <c r="W6" t="s">
        <v>60</v>
      </c>
      <c r="X6">
        <v>6.7</v>
      </c>
      <c r="Y6" t="s">
        <v>39</v>
      </c>
      <c r="Z6">
        <f t="shared" si="0"/>
        <v>15</v>
      </c>
    </row>
    <row r="7" spans="1:26" x14ac:dyDescent="0.35">
      <c r="A7" t="s">
        <v>159</v>
      </c>
      <c r="B7" t="s">
        <v>159</v>
      </c>
      <c r="C7" t="s">
        <v>35</v>
      </c>
      <c r="D7" t="s">
        <v>36</v>
      </c>
      <c r="E7">
        <v>5.8480492809999998</v>
      </c>
      <c r="F7">
        <v>10</v>
      </c>
      <c r="G7">
        <v>16</v>
      </c>
      <c r="H7">
        <v>197</v>
      </c>
      <c r="I7" t="s">
        <v>59</v>
      </c>
      <c r="J7" t="s">
        <v>60</v>
      </c>
      <c r="K7">
        <v>5.8</v>
      </c>
      <c r="L7" t="s">
        <v>63</v>
      </c>
      <c r="N7" t="s">
        <v>134</v>
      </c>
      <c r="O7" t="s">
        <v>134</v>
      </c>
      <c r="P7" t="s">
        <v>35</v>
      </c>
      <c r="Q7" t="s">
        <v>36</v>
      </c>
      <c r="R7">
        <v>6.7515400410000002</v>
      </c>
      <c r="S7">
        <v>0</v>
      </c>
      <c r="T7">
        <v>0</v>
      </c>
      <c r="V7" t="s">
        <v>34</v>
      </c>
      <c r="W7" t="s">
        <v>60</v>
      </c>
      <c r="X7">
        <v>6.8</v>
      </c>
      <c r="Y7" t="s">
        <v>39</v>
      </c>
      <c r="Z7">
        <f t="shared" si="0"/>
        <v>14</v>
      </c>
    </row>
    <row r="8" spans="1:26" x14ac:dyDescent="0.35">
      <c r="A8" t="s">
        <v>87</v>
      </c>
      <c r="B8" t="s">
        <v>87</v>
      </c>
      <c r="C8" t="s">
        <v>35</v>
      </c>
      <c r="D8" t="s">
        <v>36</v>
      </c>
      <c r="E8">
        <v>6.0451745380000004</v>
      </c>
      <c r="F8">
        <v>5</v>
      </c>
      <c r="G8">
        <v>17</v>
      </c>
      <c r="H8">
        <v>322</v>
      </c>
      <c r="I8" t="s">
        <v>59</v>
      </c>
      <c r="J8" t="s">
        <v>60</v>
      </c>
      <c r="K8">
        <v>6</v>
      </c>
      <c r="L8" t="s">
        <v>63</v>
      </c>
      <c r="N8" t="s">
        <v>102</v>
      </c>
      <c r="O8" t="s">
        <v>102</v>
      </c>
      <c r="P8" t="s">
        <v>35</v>
      </c>
      <c r="Q8" t="s">
        <v>36</v>
      </c>
      <c r="R8">
        <v>6.9979466119999998</v>
      </c>
      <c r="S8">
        <v>0</v>
      </c>
      <c r="T8">
        <v>0</v>
      </c>
      <c r="V8" t="s">
        <v>34</v>
      </c>
      <c r="W8" t="s">
        <v>60</v>
      </c>
      <c r="X8">
        <v>7</v>
      </c>
      <c r="Y8" t="s">
        <v>39</v>
      </c>
      <c r="Z8">
        <f t="shared" si="0"/>
        <v>16</v>
      </c>
    </row>
    <row r="9" spans="1:26" x14ac:dyDescent="0.35">
      <c r="A9" t="s">
        <v>109</v>
      </c>
      <c r="B9" t="s">
        <v>109</v>
      </c>
      <c r="C9" t="s">
        <v>35</v>
      </c>
      <c r="D9" t="s">
        <v>36</v>
      </c>
      <c r="E9">
        <v>6.1355236140000002</v>
      </c>
      <c r="F9">
        <v>0</v>
      </c>
      <c r="G9">
        <v>19</v>
      </c>
      <c r="H9">
        <v>157</v>
      </c>
      <c r="I9" t="s">
        <v>59</v>
      </c>
      <c r="J9" t="s">
        <v>60</v>
      </c>
      <c r="K9">
        <v>6.1</v>
      </c>
      <c r="L9" t="s">
        <v>63</v>
      </c>
      <c r="N9" t="s">
        <v>93</v>
      </c>
      <c r="O9" t="s">
        <v>93</v>
      </c>
      <c r="P9" t="s">
        <v>35</v>
      </c>
      <c r="Q9" t="s">
        <v>36</v>
      </c>
      <c r="R9">
        <v>7.0965092399999996</v>
      </c>
      <c r="S9">
        <v>0</v>
      </c>
      <c r="V9" t="s">
        <v>34</v>
      </c>
      <c r="W9" t="s">
        <v>60</v>
      </c>
      <c r="X9">
        <v>7.1</v>
      </c>
      <c r="Y9" t="s">
        <v>39</v>
      </c>
      <c r="Z9">
        <f t="shared" si="0"/>
        <v>15</v>
      </c>
    </row>
    <row r="10" spans="1:26" x14ac:dyDescent="0.35">
      <c r="A10" t="s">
        <v>117</v>
      </c>
      <c r="B10" t="s">
        <v>117</v>
      </c>
      <c r="C10" t="s">
        <v>35</v>
      </c>
      <c r="D10" t="s">
        <v>36</v>
      </c>
      <c r="E10">
        <v>6.2149212870000001</v>
      </c>
      <c r="F10">
        <v>0</v>
      </c>
      <c r="G10">
        <v>9</v>
      </c>
      <c r="H10">
        <v>218</v>
      </c>
      <c r="I10" t="s">
        <v>59</v>
      </c>
      <c r="J10" t="s">
        <v>60</v>
      </c>
      <c r="K10">
        <v>6.2</v>
      </c>
      <c r="L10" t="s">
        <v>63</v>
      </c>
      <c r="N10" t="s">
        <v>164</v>
      </c>
      <c r="O10" t="s">
        <v>164</v>
      </c>
      <c r="P10" t="s">
        <v>35</v>
      </c>
      <c r="Q10" t="s">
        <v>121</v>
      </c>
      <c r="R10">
        <v>7.1184120469999996</v>
      </c>
      <c r="S10">
        <v>0</v>
      </c>
      <c r="T10">
        <v>0</v>
      </c>
      <c r="V10" t="s">
        <v>34</v>
      </c>
      <c r="W10" t="s">
        <v>60</v>
      </c>
      <c r="X10">
        <v>7.1</v>
      </c>
      <c r="Y10" t="s">
        <v>39</v>
      </c>
      <c r="Z10">
        <f t="shared" si="0"/>
        <v>15</v>
      </c>
    </row>
    <row r="11" spans="1:26" x14ac:dyDescent="0.35">
      <c r="A11" t="s">
        <v>72</v>
      </c>
      <c r="B11" t="s">
        <v>72</v>
      </c>
      <c r="C11" t="s">
        <v>35</v>
      </c>
      <c r="D11" t="s">
        <v>36</v>
      </c>
      <c r="E11">
        <v>6.3490759749999999</v>
      </c>
      <c r="F11">
        <v>0</v>
      </c>
      <c r="G11">
        <v>17</v>
      </c>
      <c r="H11">
        <v>117</v>
      </c>
      <c r="I11" t="s">
        <v>59</v>
      </c>
      <c r="J11" t="s">
        <v>60</v>
      </c>
      <c r="K11">
        <v>6.3</v>
      </c>
      <c r="L11" t="s">
        <v>63</v>
      </c>
      <c r="N11" t="s">
        <v>107</v>
      </c>
      <c r="O11" t="s">
        <v>107</v>
      </c>
      <c r="P11" t="s">
        <v>35</v>
      </c>
      <c r="Q11" t="s">
        <v>36</v>
      </c>
      <c r="R11">
        <v>7.6495550989999996</v>
      </c>
      <c r="V11" t="s">
        <v>34</v>
      </c>
      <c r="W11" t="s">
        <v>60</v>
      </c>
      <c r="X11">
        <v>7.6</v>
      </c>
      <c r="Y11" t="s">
        <v>39</v>
      </c>
      <c r="Z11">
        <f t="shared" si="0"/>
        <v>16</v>
      </c>
    </row>
    <row r="12" spans="1:26" x14ac:dyDescent="0.35">
      <c r="A12" t="s">
        <v>94</v>
      </c>
      <c r="B12" t="s">
        <v>94</v>
      </c>
      <c r="C12" t="s">
        <v>35</v>
      </c>
      <c r="D12" t="s">
        <v>36</v>
      </c>
      <c r="E12">
        <v>6.291581109</v>
      </c>
      <c r="F12">
        <v>20</v>
      </c>
      <c r="G12">
        <v>25</v>
      </c>
      <c r="H12">
        <v>151</v>
      </c>
      <c r="I12" t="s">
        <v>59</v>
      </c>
      <c r="J12" t="s">
        <v>60</v>
      </c>
      <c r="K12">
        <v>6.3</v>
      </c>
      <c r="L12" t="s">
        <v>63</v>
      </c>
      <c r="N12" t="s">
        <v>177</v>
      </c>
      <c r="O12" t="s">
        <v>177</v>
      </c>
      <c r="P12" t="s">
        <v>35</v>
      </c>
      <c r="Q12" t="s">
        <v>36</v>
      </c>
      <c r="R12">
        <v>8.2217659140000006</v>
      </c>
      <c r="S12">
        <v>0</v>
      </c>
      <c r="T12">
        <v>0</v>
      </c>
      <c r="V12" t="s">
        <v>34</v>
      </c>
      <c r="W12" t="s">
        <v>60</v>
      </c>
      <c r="X12">
        <v>8.1999999999999993</v>
      </c>
      <c r="Y12" t="s">
        <v>39</v>
      </c>
      <c r="Z12">
        <f t="shared" si="0"/>
        <v>20</v>
      </c>
    </row>
    <row r="13" spans="1:26" x14ac:dyDescent="0.35">
      <c r="A13" t="s">
        <v>58</v>
      </c>
      <c r="B13" t="s">
        <v>58</v>
      </c>
      <c r="C13" t="s">
        <v>35</v>
      </c>
      <c r="D13" t="s">
        <v>36</v>
      </c>
      <c r="E13">
        <v>6.4229979469999998</v>
      </c>
      <c r="F13">
        <v>0</v>
      </c>
      <c r="G13">
        <v>14</v>
      </c>
      <c r="H13">
        <v>53</v>
      </c>
      <c r="I13" t="s">
        <v>59</v>
      </c>
      <c r="J13" t="s">
        <v>60</v>
      </c>
      <c r="K13">
        <v>6.4</v>
      </c>
      <c r="L13" t="s">
        <v>63</v>
      </c>
      <c r="N13" t="s">
        <v>140</v>
      </c>
      <c r="O13" t="s">
        <v>140</v>
      </c>
      <c r="P13" t="s">
        <v>35</v>
      </c>
      <c r="Q13" t="s">
        <v>36</v>
      </c>
      <c r="R13">
        <v>8.3422313480000003</v>
      </c>
      <c r="S13">
        <v>0</v>
      </c>
      <c r="T13">
        <v>0</v>
      </c>
      <c r="V13" t="s">
        <v>34</v>
      </c>
      <c r="W13" t="s">
        <v>60</v>
      </c>
      <c r="X13">
        <v>8.3000000000000007</v>
      </c>
      <c r="Y13" t="s">
        <v>39</v>
      </c>
      <c r="Z13">
        <f t="shared" si="0"/>
        <v>19</v>
      </c>
    </row>
    <row r="14" spans="1:26" x14ac:dyDescent="0.35">
      <c r="A14" t="s">
        <v>81</v>
      </c>
      <c r="B14" t="s">
        <v>81</v>
      </c>
      <c r="C14" t="s">
        <v>35</v>
      </c>
      <c r="D14" t="s">
        <v>36</v>
      </c>
      <c r="E14">
        <v>6.4147843939999998</v>
      </c>
      <c r="F14">
        <v>20</v>
      </c>
      <c r="G14">
        <v>21</v>
      </c>
      <c r="H14">
        <v>188</v>
      </c>
      <c r="I14" t="s">
        <v>59</v>
      </c>
      <c r="J14" t="s">
        <v>60</v>
      </c>
      <c r="K14">
        <v>6.4</v>
      </c>
      <c r="L14" t="s">
        <v>63</v>
      </c>
      <c r="N14" t="s">
        <v>182</v>
      </c>
      <c r="O14" t="s">
        <v>182</v>
      </c>
      <c r="P14" t="s">
        <v>35</v>
      </c>
      <c r="Q14" t="s">
        <v>36</v>
      </c>
      <c r="R14">
        <v>8.7419575629999997</v>
      </c>
      <c r="S14">
        <v>0</v>
      </c>
      <c r="T14">
        <v>0</v>
      </c>
      <c r="V14" t="s">
        <v>34</v>
      </c>
      <c r="W14" t="s">
        <v>60</v>
      </c>
      <c r="X14">
        <v>8.6999999999999993</v>
      </c>
      <c r="Y14" t="s">
        <v>39</v>
      </c>
      <c r="Z14">
        <f t="shared" si="0"/>
        <v>17</v>
      </c>
    </row>
    <row r="15" spans="1:26" x14ac:dyDescent="0.35">
      <c r="A15" t="s">
        <v>118</v>
      </c>
      <c r="B15" t="s">
        <v>118</v>
      </c>
      <c r="C15" t="s">
        <v>35</v>
      </c>
      <c r="D15" t="s">
        <v>36</v>
      </c>
      <c r="E15">
        <v>6.3928815879999998</v>
      </c>
      <c r="F15">
        <v>0</v>
      </c>
      <c r="G15">
        <v>16</v>
      </c>
      <c r="H15">
        <v>33</v>
      </c>
      <c r="I15" t="s">
        <v>59</v>
      </c>
      <c r="J15" t="s">
        <v>60</v>
      </c>
      <c r="K15">
        <v>6.4</v>
      </c>
      <c r="L15" t="s">
        <v>63</v>
      </c>
      <c r="N15" t="s">
        <v>136</v>
      </c>
      <c r="O15" t="s">
        <v>136</v>
      </c>
      <c r="P15" t="s">
        <v>35</v>
      </c>
      <c r="Q15" t="s">
        <v>36</v>
      </c>
      <c r="R15">
        <v>8.8870636550000004</v>
      </c>
      <c r="S15">
        <v>0</v>
      </c>
      <c r="T15">
        <v>0</v>
      </c>
      <c r="V15" t="s">
        <v>34</v>
      </c>
      <c r="W15" t="s">
        <v>60</v>
      </c>
      <c r="X15">
        <v>8.9</v>
      </c>
      <c r="Y15" t="s">
        <v>39</v>
      </c>
      <c r="Z15">
        <f t="shared" si="0"/>
        <v>15</v>
      </c>
    </row>
    <row r="16" spans="1:26" x14ac:dyDescent="0.35">
      <c r="A16" t="s">
        <v>95</v>
      </c>
      <c r="B16" t="s">
        <v>95</v>
      </c>
      <c r="C16" t="s">
        <v>35</v>
      </c>
      <c r="D16" t="s">
        <v>36</v>
      </c>
      <c r="E16">
        <v>6.6447638600000003</v>
      </c>
      <c r="F16">
        <v>10</v>
      </c>
      <c r="G16">
        <v>21</v>
      </c>
      <c r="H16">
        <v>144</v>
      </c>
      <c r="I16" t="s">
        <v>59</v>
      </c>
      <c r="J16" t="s">
        <v>60</v>
      </c>
      <c r="K16">
        <v>6.6</v>
      </c>
      <c r="L16" t="s">
        <v>63</v>
      </c>
      <c r="N16" t="s">
        <v>104</v>
      </c>
      <c r="O16" t="s">
        <v>104</v>
      </c>
      <c r="P16" t="s">
        <v>35</v>
      </c>
      <c r="Q16" t="s">
        <v>36</v>
      </c>
      <c r="R16">
        <v>9.0294318960000002</v>
      </c>
      <c r="S16">
        <v>0</v>
      </c>
      <c r="T16">
        <v>0</v>
      </c>
      <c r="V16" t="s">
        <v>34</v>
      </c>
      <c r="W16" t="s">
        <v>60</v>
      </c>
      <c r="X16">
        <v>9</v>
      </c>
      <c r="Y16" t="s">
        <v>39</v>
      </c>
      <c r="Z16">
        <f t="shared" si="0"/>
        <v>15</v>
      </c>
    </row>
    <row r="17" spans="1:26" x14ac:dyDescent="0.35">
      <c r="A17" t="s">
        <v>122</v>
      </c>
      <c r="B17" t="s">
        <v>122</v>
      </c>
      <c r="C17" t="s">
        <v>35</v>
      </c>
      <c r="D17" t="s">
        <v>36</v>
      </c>
      <c r="E17">
        <v>6.858316222</v>
      </c>
      <c r="F17">
        <v>0</v>
      </c>
      <c r="G17">
        <v>12</v>
      </c>
      <c r="H17">
        <v>360</v>
      </c>
      <c r="I17" t="s">
        <v>59</v>
      </c>
      <c r="J17" t="s">
        <v>60</v>
      </c>
      <c r="K17">
        <v>6.9</v>
      </c>
      <c r="L17" t="s">
        <v>63</v>
      </c>
      <c r="N17" t="s">
        <v>33</v>
      </c>
      <c r="O17" t="s">
        <v>33</v>
      </c>
      <c r="P17" t="s">
        <v>35</v>
      </c>
      <c r="Q17" t="s">
        <v>36</v>
      </c>
      <c r="R17">
        <v>9.1999999999999993</v>
      </c>
      <c r="V17" t="s">
        <v>34</v>
      </c>
      <c r="W17" t="s">
        <v>37</v>
      </c>
      <c r="X17">
        <v>9.1999999999999993</v>
      </c>
      <c r="Y17" t="s">
        <v>39</v>
      </c>
      <c r="Z17">
        <f t="shared" si="0"/>
        <v>13</v>
      </c>
    </row>
    <row r="18" spans="1:26" x14ac:dyDescent="0.35">
      <c r="A18" t="s">
        <v>69</v>
      </c>
      <c r="B18" t="s">
        <v>69</v>
      </c>
      <c r="C18" t="s">
        <v>35</v>
      </c>
      <c r="D18" t="s">
        <v>70</v>
      </c>
      <c r="E18">
        <v>7.2553045860000003</v>
      </c>
      <c r="F18">
        <v>0</v>
      </c>
      <c r="G18">
        <v>11</v>
      </c>
      <c r="H18">
        <v>159</v>
      </c>
      <c r="I18" t="s">
        <v>59</v>
      </c>
      <c r="J18" t="s">
        <v>60</v>
      </c>
      <c r="K18">
        <v>7.3</v>
      </c>
      <c r="L18" t="s">
        <v>63</v>
      </c>
      <c r="N18" t="s">
        <v>51</v>
      </c>
      <c r="O18" t="s">
        <v>51</v>
      </c>
      <c r="P18" t="s">
        <v>35</v>
      </c>
      <c r="Q18" t="s">
        <v>36</v>
      </c>
      <c r="R18">
        <v>9.1999999999999993</v>
      </c>
      <c r="V18" t="s">
        <v>34</v>
      </c>
      <c r="W18" t="s">
        <v>47</v>
      </c>
      <c r="X18">
        <v>9.1999999999999993</v>
      </c>
      <c r="Y18" t="s">
        <v>39</v>
      </c>
      <c r="Z18">
        <f t="shared" si="0"/>
        <v>13</v>
      </c>
    </row>
    <row r="19" spans="1:26" x14ac:dyDescent="0.35">
      <c r="A19" t="s">
        <v>161</v>
      </c>
      <c r="B19" t="s">
        <v>161</v>
      </c>
      <c r="C19" t="s">
        <v>35</v>
      </c>
      <c r="D19" t="s">
        <v>70</v>
      </c>
      <c r="E19">
        <v>7.2662559890000002</v>
      </c>
      <c r="F19">
        <v>0</v>
      </c>
      <c r="G19">
        <v>16</v>
      </c>
      <c r="H19">
        <v>344</v>
      </c>
      <c r="I19" t="s">
        <v>59</v>
      </c>
      <c r="J19" t="s">
        <v>60</v>
      </c>
      <c r="K19">
        <v>7.3</v>
      </c>
      <c r="L19" t="s">
        <v>63</v>
      </c>
      <c r="N19" t="s">
        <v>97</v>
      </c>
      <c r="O19" t="s">
        <v>97</v>
      </c>
      <c r="P19" t="s">
        <v>35</v>
      </c>
      <c r="Q19" t="s">
        <v>70</v>
      </c>
      <c r="R19">
        <v>9.1854893910000008</v>
      </c>
      <c r="S19">
        <v>0</v>
      </c>
      <c r="T19">
        <v>0</v>
      </c>
      <c r="V19" t="s">
        <v>34</v>
      </c>
      <c r="W19" t="s">
        <v>60</v>
      </c>
      <c r="X19">
        <v>9.1999999999999993</v>
      </c>
      <c r="Y19" t="s">
        <v>39</v>
      </c>
      <c r="Z19">
        <f t="shared" si="0"/>
        <v>13</v>
      </c>
    </row>
    <row r="20" spans="1:26" x14ac:dyDescent="0.35">
      <c r="A20" t="s">
        <v>141</v>
      </c>
      <c r="B20" t="s">
        <v>141</v>
      </c>
      <c r="C20" t="s">
        <v>35</v>
      </c>
      <c r="D20" t="s">
        <v>36</v>
      </c>
      <c r="E20">
        <v>7.6057494869999998</v>
      </c>
      <c r="F20">
        <v>0</v>
      </c>
      <c r="G20">
        <v>12</v>
      </c>
      <c r="H20">
        <v>107</v>
      </c>
      <c r="I20" t="s">
        <v>59</v>
      </c>
      <c r="J20" t="s">
        <v>60</v>
      </c>
      <c r="K20">
        <v>7.6</v>
      </c>
      <c r="L20" t="s">
        <v>63</v>
      </c>
      <c r="N20" t="s">
        <v>112</v>
      </c>
      <c r="O20" t="s">
        <v>112</v>
      </c>
      <c r="P20" t="s">
        <v>35</v>
      </c>
      <c r="Q20" t="s">
        <v>36</v>
      </c>
      <c r="R20">
        <v>9.3716632440000005</v>
      </c>
      <c r="S20">
        <v>0</v>
      </c>
      <c r="T20">
        <v>0</v>
      </c>
      <c r="V20" t="s">
        <v>34</v>
      </c>
      <c r="W20" t="s">
        <v>60</v>
      </c>
      <c r="X20">
        <v>9.4</v>
      </c>
      <c r="Y20" t="s">
        <v>39</v>
      </c>
      <c r="Z20">
        <f t="shared" si="0"/>
        <v>10</v>
      </c>
    </row>
    <row r="21" spans="1:26" x14ac:dyDescent="0.35">
      <c r="A21" t="s">
        <v>166</v>
      </c>
      <c r="B21" t="s">
        <v>166</v>
      </c>
      <c r="C21" t="s">
        <v>35</v>
      </c>
      <c r="D21" t="s">
        <v>36</v>
      </c>
      <c r="E21">
        <v>7.7481177280000004</v>
      </c>
      <c r="F21">
        <v>0</v>
      </c>
      <c r="G21">
        <v>14</v>
      </c>
      <c r="H21">
        <v>224</v>
      </c>
      <c r="I21" t="s">
        <v>59</v>
      </c>
      <c r="J21" t="s">
        <v>60</v>
      </c>
      <c r="K21">
        <v>7.7</v>
      </c>
      <c r="L21" t="s">
        <v>63</v>
      </c>
      <c r="N21" t="s">
        <v>49</v>
      </c>
      <c r="O21" t="s">
        <v>49</v>
      </c>
      <c r="P21" t="s">
        <v>35</v>
      </c>
      <c r="Q21" t="s">
        <v>36</v>
      </c>
      <c r="R21">
        <v>9.9</v>
      </c>
      <c r="V21" t="s">
        <v>34</v>
      </c>
      <c r="W21" t="s">
        <v>47</v>
      </c>
      <c r="X21">
        <v>9.9</v>
      </c>
      <c r="Y21" t="s">
        <v>39</v>
      </c>
      <c r="Z21">
        <f t="shared" si="0"/>
        <v>8</v>
      </c>
    </row>
    <row r="22" spans="1:26" x14ac:dyDescent="0.35">
      <c r="A22" t="s">
        <v>84</v>
      </c>
      <c r="B22" t="s">
        <v>84</v>
      </c>
      <c r="C22" t="s">
        <v>35</v>
      </c>
      <c r="D22" t="s">
        <v>36</v>
      </c>
      <c r="E22">
        <v>7.7700205340000004</v>
      </c>
      <c r="F22">
        <v>5</v>
      </c>
      <c r="G22">
        <v>21</v>
      </c>
      <c r="H22">
        <v>186</v>
      </c>
      <c r="I22" t="s">
        <v>59</v>
      </c>
      <c r="J22" t="s">
        <v>60</v>
      </c>
      <c r="K22">
        <v>7.8</v>
      </c>
      <c r="L22" t="s">
        <v>63</v>
      </c>
      <c r="N22" t="s">
        <v>119</v>
      </c>
      <c r="O22" t="s">
        <v>119</v>
      </c>
      <c r="P22" t="s">
        <v>35</v>
      </c>
      <c r="Q22" t="s">
        <v>36</v>
      </c>
      <c r="R22">
        <v>10.04517454</v>
      </c>
      <c r="S22">
        <v>0</v>
      </c>
      <c r="T22">
        <v>0</v>
      </c>
      <c r="V22" t="s">
        <v>34</v>
      </c>
      <c r="W22" t="s">
        <v>60</v>
      </c>
      <c r="X22">
        <v>10</v>
      </c>
      <c r="Y22" t="s">
        <v>39</v>
      </c>
      <c r="Z22">
        <f t="shared" si="0"/>
        <v>8</v>
      </c>
    </row>
    <row r="23" spans="1:26" x14ac:dyDescent="0.35">
      <c r="A23" t="s">
        <v>157</v>
      </c>
      <c r="B23" t="s">
        <v>157</v>
      </c>
      <c r="C23" t="s">
        <v>35</v>
      </c>
      <c r="D23" t="s">
        <v>121</v>
      </c>
      <c r="E23">
        <v>7.7837097880000004</v>
      </c>
      <c r="F23">
        <v>0</v>
      </c>
      <c r="G23">
        <v>19</v>
      </c>
      <c r="H23">
        <v>42</v>
      </c>
      <c r="I23" t="s">
        <v>59</v>
      </c>
      <c r="J23" t="s">
        <v>60</v>
      </c>
      <c r="K23">
        <v>7.8</v>
      </c>
      <c r="L23" t="s">
        <v>63</v>
      </c>
      <c r="N23" t="s">
        <v>50</v>
      </c>
      <c r="O23" t="s">
        <v>50</v>
      </c>
      <c r="P23" t="s">
        <v>35</v>
      </c>
      <c r="Q23" t="s">
        <v>36</v>
      </c>
      <c r="R23">
        <v>10.1</v>
      </c>
      <c r="V23" t="s">
        <v>34</v>
      </c>
      <c r="W23" t="s">
        <v>47</v>
      </c>
      <c r="X23">
        <v>10.1</v>
      </c>
      <c r="Y23" t="s">
        <v>39</v>
      </c>
      <c r="Z23">
        <f t="shared" si="0"/>
        <v>8</v>
      </c>
    </row>
    <row r="24" spans="1:26" x14ac:dyDescent="0.35">
      <c r="A24" t="s">
        <v>99</v>
      </c>
      <c r="B24" t="s">
        <v>99</v>
      </c>
      <c r="C24" t="s">
        <v>35</v>
      </c>
      <c r="D24" t="s">
        <v>36</v>
      </c>
      <c r="E24">
        <v>7.8959616700000002</v>
      </c>
      <c r="F24">
        <v>0</v>
      </c>
      <c r="G24">
        <v>7</v>
      </c>
      <c r="H24">
        <v>101</v>
      </c>
      <c r="I24" t="s">
        <v>59</v>
      </c>
      <c r="J24" t="s">
        <v>60</v>
      </c>
      <c r="K24">
        <v>7.9</v>
      </c>
      <c r="L24" t="s">
        <v>63</v>
      </c>
      <c r="N24" t="s">
        <v>48</v>
      </c>
      <c r="O24" t="s">
        <v>48</v>
      </c>
      <c r="P24" t="s">
        <v>35</v>
      </c>
      <c r="Q24" t="s">
        <v>36</v>
      </c>
      <c r="R24">
        <v>10.6</v>
      </c>
      <c r="V24" t="s">
        <v>34</v>
      </c>
      <c r="W24" t="s">
        <v>47</v>
      </c>
      <c r="X24">
        <v>10.6</v>
      </c>
      <c r="Y24" t="s">
        <v>39</v>
      </c>
      <c r="Z24">
        <f t="shared" si="0"/>
        <v>7</v>
      </c>
    </row>
    <row r="25" spans="1:26" x14ac:dyDescent="0.35">
      <c r="A25" t="s">
        <v>108</v>
      </c>
      <c r="B25" t="s">
        <v>108</v>
      </c>
      <c r="C25" t="s">
        <v>35</v>
      </c>
      <c r="D25" t="s">
        <v>36</v>
      </c>
      <c r="E25">
        <v>8.0821355239999999</v>
      </c>
      <c r="F25">
        <v>0</v>
      </c>
      <c r="G25">
        <v>10</v>
      </c>
      <c r="H25">
        <v>76</v>
      </c>
      <c r="I25" t="s">
        <v>59</v>
      </c>
      <c r="J25" t="s">
        <v>60</v>
      </c>
      <c r="K25">
        <v>8.1</v>
      </c>
      <c r="L25" t="s">
        <v>63</v>
      </c>
      <c r="N25" t="s">
        <v>130</v>
      </c>
      <c r="O25" t="s">
        <v>130</v>
      </c>
      <c r="P25" t="s">
        <v>35</v>
      </c>
      <c r="Q25" t="s">
        <v>36</v>
      </c>
      <c r="R25">
        <v>10.72416153</v>
      </c>
      <c r="S25">
        <v>0</v>
      </c>
      <c r="T25">
        <v>0</v>
      </c>
      <c r="V25" t="s">
        <v>34</v>
      </c>
      <c r="W25" t="s">
        <v>60</v>
      </c>
      <c r="X25">
        <v>10.7</v>
      </c>
      <c r="Y25" t="s">
        <v>39</v>
      </c>
      <c r="Z25">
        <f t="shared" si="0"/>
        <v>6</v>
      </c>
    </row>
    <row r="26" spans="1:26" x14ac:dyDescent="0.35">
      <c r="A26" t="s">
        <v>126</v>
      </c>
      <c r="B26" t="s">
        <v>126</v>
      </c>
      <c r="C26" t="s">
        <v>35</v>
      </c>
      <c r="D26" t="s">
        <v>36</v>
      </c>
      <c r="E26">
        <v>8.0739219710000008</v>
      </c>
      <c r="F26">
        <v>0</v>
      </c>
      <c r="G26">
        <v>12</v>
      </c>
      <c r="H26">
        <v>144</v>
      </c>
      <c r="I26" t="s">
        <v>59</v>
      </c>
      <c r="J26" t="s">
        <v>60</v>
      </c>
      <c r="K26">
        <v>8.1</v>
      </c>
      <c r="L26" t="s">
        <v>63</v>
      </c>
      <c r="N26" t="s">
        <v>146</v>
      </c>
      <c r="O26" t="s">
        <v>146</v>
      </c>
      <c r="P26" t="s">
        <v>35</v>
      </c>
      <c r="Q26" t="s">
        <v>36</v>
      </c>
      <c r="R26">
        <v>10.91581109</v>
      </c>
      <c r="S26">
        <v>0</v>
      </c>
      <c r="T26">
        <v>0</v>
      </c>
      <c r="V26" t="s">
        <v>34</v>
      </c>
      <c r="W26" t="s">
        <v>60</v>
      </c>
      <c r="X26">
        <v>10.9</v>
      </c>
      <c r="Y26" t="s">
        <v>39</v>
      </c>
      <c r="Z26">
        <f t="shared" si="0"/>
        <v>6</v>
      </c>
    </row>
    <row r="27" spans="1:26" x14ac:dyDescent="0.35">
      <c r="A27" t="s">
        <v>120</v>
      </c>
      <c r="B27" t="s">
        <v>120</v>
      </c>
      <c r="C27" t="s">
        <v>35</v>
      </c>
      <c r="D27" t="s">
        <v>121</v>
      </c>
      <c r="E27">
        <v>8.2080766599999997</v>
      </c>
      <c r="F27">
        <v>10</v>
      </c>
      <c r="G27">
        <v>17</v>
      </c>
      <c r="H27">
        <v>309</v>
      </c>
      <c r="I27" t="s">
        <v>59</v>
      </c>
      <c r="J27" t="s">
        <v>60</v>
      </c>
      <c r="K27">
        <v>8.1999999999999993</v>
      </c>
      <c r="L27" t="s">
        <v>63</v>
      </c>
      <c r="N27" t="s">
        <v>181</v>
      </c>
      <c r="O27" t="s">
        <v>181</v>
      </c>
      <c r="P27" t="s">
        <v>35</v>
      </c>
      <c r="Q27" t="s">
        <v>36</v>
      </c>
      <c r="R27">
        <v>10.98151951</v>
      </c>
      <c r="S27">
        <v>0</v>
      </c>
      <c r="T27">
        <v>0</v>
      </c>
      <c r="V27" t="s">
        <v>34</v>
      </c>
      <c r="W27" t="s">
        <v>60</v>
      </c>
      <c r="X27">
        <v>11</v>
      </c>
      <c r="Y27" t="s">
        <v>39</v>
      </c>
      <c r="Z27">
        <f t="shared" si="0"/>
        <v>5</v>
      </c>
    </row>
    <row r="28" spans="1:26" x14ac:dyDescent="0.35">
      <c r="A28" t="s">
        <v>150</v>
      </c>
      <c r="B28" t="s">
        <v>150</v>
      </c>
      <c r="C28" t="s">
        <v>35</v>
      </c>
      <c r="D28" t="s">
        <v>36</v>
      </c>
      <c r="E28">
        <v>8.2655715260000004</v>
      </c>
      <c r="F28">
        <v>10</v>
      </c>
      <c r="G28">
        <v>17</v>
      </c>
      <c r="H28">
        <v>121</v>
      </c>
      <c r="I28" t="s">
        <v>59</v>
      </c>
      <c r="J28" t="s">
        <v>60</v>
      </c>
      <c r="K28">
        <v>8.3000000000000007</v>
      </c>
      <c r="L28" t="s">
        <v>63</v>
      </c>
    </row>
    <row r="29" spans="1:26" x14ac:dyDescent="0.35">
      <c r="A29" t="s">
        <v>66</v>
      </c>
      <c r="B29" t="s">
        <v>66</v>
      </c>
      <c r="C29" t="s">
        <v>35</v>
      </c>
      <c r="D29" t="s">
        <v>36</v>
      </c>
      <c r="E29">
        <v>8.3887748119999994</v>
      </c>
      <c r="F29">
        <v>10</v>
      </c>
      <c r="G29">
        <v>19</v>
      </c>
      <c r="H29">
        <v>112</v>
      </c>
      <c r="I29" t="s">
        <v>59</v>
      </c>
      <c r="J29" t="s">
        <v>60</v>
      </c>
      <c r="K29">
        <v>8.4</v>
      </c>
      <c r="L29" t="s">
        <v>63</v>
      </c>
    </row>
    <row r="30" spans="1:26" x14ac:dyDescent="0.35">
      <c r="A30" t="s">
        <v>80</v>
      </c>
      <c r="B30" t="s">
        <v>80</v>
      </c>
      <c r="C30" t="s">
        <v>35</v>
      </c>
      <c r="D30" t="s">
        <v>36</v>
      </c>
      <c r="E30">
        <v>8.3915126630000003</v>
      </c>
      <c r="F30">
        <v>20</v>
      </c>
      <c r="G30">
        <v>22</v>
      </c>
      <c r="H30">
        <v>131</v>
      </c>
      <c r="I30" t="s">
        <v>59</v>
      </c>
      <c r="J30" t="s">
        <v>60</v>
      </c>
      <c r="K30">
        <v>8.4</v>
      </c>
      <c r="L30" t="s">
        <v>63</v>
      </c>
    </row>
    <row r="31" spans="1:26" x14ac:dyDescent="0.35">
      <c r="A31" t="s">
        <v>156</v>
      </c>
      <c r="B31" t="s">
        <v>156</v>
      </c>
      <c r="C31" t="s">
        <v>35</v>
      </c>
      <c r="D31" t="s">
        <v>36</v>
      </c>
      <c r="E31">
        <v>8.3997262149999994</v>
      </c>
      <c r="F31">
        <v>10</v>
      </c>
      <c r="G31">
        <v>12</v>
      </c>
      <c r="H31">
        <v>115</v>
      </c>
      <c r="I31" t="s">
        <v>59</v>
      </c>
      <c r="J31" t="s">
        <v>60</v>
      </c>
      <c r="K31">
        <v>8.4</v>
      </c>
      <c r="L31" t="s">
        <v>63</v>
      </c>
    </row>
    <row r="32" spans="1:26" x14ac:dyDescent="0.35">
      <c r="A32" t="s">
        <v>172</v>
      </c>
      <c r="B32" t="s">
        <v>172</v>
      </c>
      <c r="C32" t="s">
        <v>35</v>
      </c>
      <c r="D32" t="s">
        <v>70</v>
      </c>
      <c r="E32">
        <v>8.4024640660000003</v>
      </c>
      <c r="F32">
        <v>10</v>
      </c>
      <c r="G32">
        <v>22</v>
      </c>
      <c r="H32">
        <v>199</v>
      </c>
      <c r="I32" t="s">
        <v>59</v>
      </c>
      <c r="J32" t="s">
        <v>60</v>
      </c>
      <c r="K32">
        <v>8.4</v>
      </c>
      <c r="L32" t="s">
        <v>63</v>
      </c>
    </row>
    <row r="33" spans="1:28" x14ac:dyDescent="0.35">
      <c r="A33" t="s">
        <v>76</v>
      </c>
      <c r="B33" t="s">
        <v>76</v>
      </c>
      <c r="C33" t="s">
        <v>35</v>
      </c>
      <c r="D33" t="s">
        <v>36</v>
      </c>
      <c r="E33">
        <v>8.6406570840000008</v>
      </c>
      <c r="F33">
        <v>5</v>
      </c>
      <c r="G33">
        <v>24</v>
      </c>
      <c r="H33">
        <v>95</v>
      </c>
      <c r="I33" t="s">
        <v>59</v>
      </c>
      <c r="J33" t="s">
        <v>60</v>
      </c>
      <c r="K33">
        <v>8.6</v>
      </c>
      <c r="L33" t="s">
        <v>63</v>
      </c>
    </row>
    <row r="34" spans="1:28" x14ac:dyDescent="0.35">
      <c r="A34" t="s">
        <v>100</v>
      </c>
      <c r="B34" t="s">
        <v>100</v>
      </c>
      <c r="C34" t="s">
        <v>35</v>
      </c>
      <c r="D34" t="s">
        <v>36</v>
      </c>
      <c r="E34">
        <v>8.7556468170000006</v>
      </c>
      <c r="F34">
        <v>0</v>
      </c>
      <c r="G34">
        <v>13</v>
      </c>
      <c r="H34">
        <v>82</v>
      </c>
      <c r="I34" t="s">
        <v>59</v>
      </c>
      <c r="J34" t="s">
        <v>60</v>
      </c>
      <c r="K34">
        <v>8.8000000000000007</v>
      </c>
      <c r="L34" t="s">
        <v>63</v>
      </c>
    </row>
    <row r="35" spans="1:28" x14ac:dyDescent="0.35">
      <c r="A35" t="s">
        <v>137</v>
      </c>
      <c r="B35" t="s">
        <v>137</v>
      </c>
      <c r="C35" t="s">
        <v>35</v>
      </c>
      <c r="D35" t="s">
        <v>70</v>
      </c>
      <c r="E35">
        <v>8.7720739220000006</v>
      </c>
      <c r="F35">
        <v>0</v>
      </c>
      <c r="G35">
        <v>17</v>
      </c>
      <c r="H35">
        <v>75</v>
      </c>
      <c r="I35" t="s">
        <v>59</v>
      </c>
      <c r="J35" t="s">
        <v>60</v>
      </c>
      <c r="K35">
        <v>8.8000000000000007</v>
      </c>
      <c r="L35" t="s">
        <v>63</v>
      </c>
    </row>
    <row r="36" spans="1:28" x14ac:dyDescent="0.35">
      <c r="A36" t="s">
        <v>158</v>
      </c>
      <c r="B36" t="s">
        <v>158</v>
      </c>
      <c r="C36" t="s">
        <v>35</v>
      </c>
      <c r="D36" t="s">
        <v>36</v>
      </c>
      <c r="E36">
        <v>8.9363449690000003</v>
      </c>
      <c r="F36">
        <v>0</v>
      </c>
      <c r="G36">
        <v>23</v>
      </c>
      <c r="H36">
        <v>297</v>
      </c>
      <c r="I36" t="s">
        <v>59</v>
      </c>
      <c r="J36" t="s">
        <v>60</v>
      </c>
      <c r="K36">
        <v>8.9</v>
      </c>
      <c r="L36" t="s">
        <v>63</v>
      </c>
    </row>
    <row r="37" spans="1:28" x14ac:dyDescent="0.35">
      <c r="A37" t="s">
        <v>149</v>
      </c>
      <c r="B37" t="s">
        <v>149</v>
      </c>
      <c r="C37" t="s">
        <v>35</v>
      </c>
      <c r="D37" t="s">
        <v>36</v>
      </c>
      <c r="E37">
        <v>9.1060917180000001</v>
      </c>
      <c r="F37">
        <v>0</v>
      </c>
      <c r="G37">
        <v>14</v>
      </c>
      <c r="H37">
        <v>271</v>
      </c>
      <c r="I37" t="s">
        <v>59</v>
      </c>
      <c r="J37" t="s">
        <v>60</v>
      </c>
      <c r="K37">
        <v>9.1</v>
      </c>
      <c r="L37" t="s">
        <v>63</v>
      </c>
    </row>
    <row r="38" spans="1:28" x14ac:dyDescent="0.35">
      <c r="A38" t="s">
        <v>116</v>
      </c>
      <c r="B38" t="s">
        <v>116</v>
      </c>
      <c r="C38" t="s">
        <v>35</v>
      </c>
      <c r="D38" t="s">
        <v>36</v>
      </c>
      <c r="E38">
        <v>9.1937029429999999</v>
      </c>
      <c r="F38">
        <v>10</v>
      </c>
      <c r="G38">
        <v>17</v>
      </c>
      <c r="H38">
        <v>245</v>
      </c>
      <c r="I38" t="s">
        <v>59</v>
      </c>
      <c r="J38" t="s">
        <v>60</v>
      </c>
      <c r="K38">
        <v>9.1999999999999993</v>
      </c>
      <c r="L38" t="s">
        <v>63</v>
      </c>
    </row>
    <row r="39" spans="1:28" x14ac:dyDescent="0.35">
      <c r="A39" t="s">
        <v>77</v>
      </c>
      <c r="B39" t="s">
        <v>77</v>
      </c>
      <c r="C39" t="s">
        <v>35</v>
      </c>
      <c r="D39" t="s">
        <v>70</v>
      </c>
      <c r="E39">
        <v>9.722108145</v>
      </c>
      <c r="F39">
        <v>20</v>
      </c>
      <c r="G39">
        <v>18</v>
      </c>
      <c r="H39">
        <v>112</v>
      </c>
      <c r="I39" t="s">
        <v>59</v>
      </c>
      <c r="J39" t="s">
        <v>60</v>
      </c>
      <c r="K39">
        <v>9.6999999999999993</v>
      </c>
      <c r="L39" t="s">
        <v>63</v>
      </c>
    </row>
    <row r="40" spans="1:28" x14ac:dyDescent="0.35">
      <c r="A40" t="s">
        <v>148</v>
      </c>
      <c r="B40" t="s">
        <v>148</v>
      </c>
      <c r="C40" t="s">
        <v>35</v>
      </c>
      <c r="D40" t="s">
        <v>36</v>
      </c>
      <c r="E40">
        <v>9.9958932239999996</v>
      </c>
      <c r="F40">
        <v>20</v>
      </c>
      <c r="G40">
        <v>25</v>
      </c>
      <c r="H40">
        <v>129</v>
      </c>
      <c r="I40" t="s">
        <v>59</v>
      </c>
      <c r="J40" t="s">
        <v>60</v>
      </c>
      <c r="K40">
        <v>10</v>
      </c>
      <c r="L40" t="s">
        <v>63</v>
      </c>
    </row>
    <row r="41" spans="1:28" x14ac:dyDescent="0.35">
      <c r="A41" t="s">
        <v>67</v>
      </c>
      <c r="B41" t="s">
        <v>67</v>
      </c>
      <c r="C41" t="s">
        <v>35</v>
      </c>
      <c r="D41" t="s">
        <v>36</v>
      </c>
      <c r="E41">
        <v>10.31622177</v>
      </c>
      <c r="F41">
        <v>0</v>
      </c>
      <c r="G41">
        <v>10</v>
      </c>
      <c r="H41">
        <v>95</v>
      </c>
      <c r="I41" t="s">
        <v>59</v>
      </c>
      <c r="J41" t="s">
        <v>60</v>
      </c>
      <c r="K41">
        <v>10.3</v>
      </c>
      <c r="L41" t="s">
        <v>63</v>
      </c>
    </row>
    <row r="42" spans="1:28" x14ac:dyDescent="0.35">
      <c r="A42" t="s">
        <v>171</v>
      </c>
      <c r="B42" t="s">
        <v>171</v>
      </c>
      <c r="C42" t="s">
        <v>35</v>
      </c>
      <c r="D42" t="s">
        <v>36</v>
      </c>
      <c r="E42">
        <v>10.32169747</v>
      </c>
      <c r="F42">
        <v>0</v>
      </c>
      <c r="G42">
        <v>12</v>
      </c>
      <c r="H42">
        <v>112</v>
      </c>
      <c r="I42" t="s">
        <v>59</v>
      </c>
      <c r="J42" t="s">
        <v>60</v>
      </c>
      <c r="K42">
        <v>10.3</v>
      </c>
      <c r="L42" t="s">
        <v>63</v>
      </c>
    </row>
    <row r="43" spans="1:28" x14ac:dyDescent="0.35">
      <c r="A43" t="s">
        <v>86</v>
      </c>
      <c r="B43" t="s">
        <v>86</v>
      </c>
      <c r="C43" t="s">
        <v>35</v>
      </c>
      <c r="D43" t="s">
        <v>36</v>
      </c>
      <c r="E43">
        <v>10.644763859999999</v>
      </c>
      <c r="F43">
        <v>20</v>
      </c>
      <c r="G43">
        <v>15</v>
      </c>
      <c r="H43">
        <v>253</v>
      </c>
      <c r="I43" t="s">
        <v>59</v>
      </c>
      <c r="J43" t="s">
        <v>60</v>
      </c>
      <c r="K43">
        <v>10.6</v>
      </c>
      <c r="L43" t="s">
        <v>63</v>
      </c>
    </row>
    <row r="44" spans="1:28" x14ac:dyDescent="0.35">
      <c r="A44" t="s">
        <v>65</v>
      </c>
      <c r="B44" t="s">
        <v>65</v>
      </c>
      <c r="C44" t="s">
        <v>35</v>
      </c>
      <c r="D44" t="s">
        <v>36</v>
      </c>
      <c r="E44">
        <v>10.650239559999999</v>
      </c>
      <c r="F44">
        <v>10</v>
      </c>
      <c r="G44">
        <v>13</v>
      </c>
      <c r="H44">
        <v>107</v>
      </c>
      <c r="I44" t="s">
        <v>59</v>
      </c>
      <c r="J44" t="s">
        <v>60</v>
      </c>
      <c r="K44">
        <v>10.7</v>
      </c>
      <c r="L44" t="s">
        <v>63</v>
      </c>
    </row>
    <row r="45" spans="1:28" x14ac:dyDescent="0.35">
      <c r="A45" t="s">
        <v>123</v>
      </c>
      <c r="B45" t="s">
        <v>123</v>
      </c>
      <c r="C45" t="s">
        <v>35</v>
      </c>
      <c r="D45" t="s">
        <v>36</v>
      </c>
      <c r="E45">
        <v>10.954141</v>
      </c>
      <c r="F45">
        <v>10</v>
      </c>
      <c r="G45">
        <v>7</v>
      </c>
      <c r="H45">
        <v>33</v>
      </c>
      <c r="I45" t="s">
        <v>59</v>
      </c>
      <c r="J45" t="s">
        <v>60</v>
      </c>
      <c r="K45">
        <v>11</v>
      </c>
      <c r="L45" t="s">
        <v>63</v>
      </c>
    </row>
    <row r="48" spans="1:28" x14ac:dyDescent="0.35">
      <c r="A48" t="s">
        <v>0</v>
      </c>
      <c r="B48" t="s">
        <v>1</v>
      </c>
      <c r="C48" t="s">
        <v>3</v>
      </c>
      <c r="D48" t="s">
        <v>4</v>
      </c>
      <c r="E48" t="s">
        <v>5</v>
      </c>
      <c r="F48" t="s">
        <v>6</v>
      </c>
      <c r="G48" t="s">
        <v>7</v>
      </c>
      <c r="H48" t="s">
        <v>8</v>
      </c>
      <c r="I48" t="s">
        <v>9</v>
      </c>
      <c r="J48" t="s">
        <v>11</v>
      </c>
      <c r="K48" t="s">
        <v>14</v>
      </c>
      <c r="L48" t="s">
        <v>17</v>
      </c>
      <c r="N48" t="s">
        <v>0</v>
      </c>
      <c r="O48" t="s">
        <v>1</v>
      </c>
      <c r="P48" t="s">
        <v>3</v>
      </c>
      <c r="Q48" t="s">
        <v>4</v>
      </c>
      <c r="R48" t="s">
        <v>5</v>
      </c>
      <c r="S48" t="s">
        <v>6</v>
      </c>
      <c r="T48" t="s">
        <v>7</v>
      </c>
      <c r="U48" t="s">
        <v>8</v>
      </c>
      <c r="V48" t="s">
        <v>9</v>
      </c>
      <c r="W48" t="s">
        <v>11</v>
      </c>
      <c r="X48" t="s">
        <v>14</v>
      </c>
      <c r="Y48" t="s">
        <v>17</v>
      </c>
      <c r="AA48" t="s">
        <v>16</v>
      </c>
      <c r="AB48" t="s">
        <v>186</v>
      </c>
    </row>
    <row r="49" spans="1:28" x14ac:dyDescent="0.35">
      <c r="A49" t="s">
        <v>68</v>
      </c>
      <c r="B49" t="s">
        <v>68</v>
      </c>
      <c r="C49" t="s">
        <v>35</v>
      </c>
      <c r="D49" t="s">
        <v>36</v>
      </c>
      <c r="E49">
        <v>5.700205339</v>
      </c>
      <c r="F49">
        <v>0</v>
      </c>
      <c r="G49">
        <v>13</v>
      </c>
      <c r="H49">
        <v>111</v>
      </c>
      <c r="I49" t="s">
        <v>59</v>
      </c>
      <c r="J49" t="s">
        <v>60</v>
      </c>
      <c r="K49">
        <v>5.7</v>
      </c>
      <c r="L49" t="s">
        <v>63</v>
      </c>
      <c r="N49" t="s">
        <v>179</v>
      </c>
      <c r="O49" t="s">
        <v>179</v>
      </c>
      <c r="P49" t="s">
        <v>35</v>
      </c>
      <c r="Q49" t="s">
        <v>36</v>
      </c>
      <c r="R49">
        <v>5.667351129</v>
      </c>
      <c r="S49">
        <v>0</v>
      </c>
      <c r="T49">
        <v>0</v>
      </c>
      <c r="V49" t="s">
        <v>34</v>
      </c>
      <c r="W49" t="s">
        <v>60</v>
      </c>
      <c r="X49">
        <v>5.7</v>
      </c>
      <c r="Y49" t="s">
        <v>39</v>
      </c>
      <c r="AA49">
        <f>IF(ISBLANK(K49),"",K49-X49)</f>
        <v>0</v>
      </c>
      <c r="AB49">
        <f>IF(ISBLANK(K49),"",ABS(AA49))</f>
        <v>0</v>
      </c>
    </row>
    <row r="50" spans="1:28" x14ac:dyDescent="0.35">
      <c r="A50" t="s">
        <v>109</v>
      </c>
      <c r="B50" t="s">
        <v>109</v>
      </c>
      <c r="C50" t="s">
        <v>35</v>
      </c>
      <c r="D50" t="s">
        <v>36</v>
      </c>
      <c r="E50">
        <v>6.1355236140000002</v>
      </c>
      <c r="F50">
        <v>0</v>
      </c>
      <c r="G50">
        <v>19</v>
      </c>
      <c r="H50">
        <v>157</v>
      </c>
      <c r="I50" t="s">
        <v>59</v>
      </c>
      <c r="J50" t="s">
        <v>60</v>
      </c>
      <c r="K50">
        <v>6.1</v>
      </c>
      <c r="L50" t="s">
        <v>63</v>
      </c>
      <c r="N50" t="s">
        <v>46</v>
      </c>
      <c r="O50" t="s">
        <v>46</v>
      </c>
      <c r="P50" t="s">
        <v>35</v>
      </c>
      <c r="Q50" t="s">
        <v>36</v>
      </c>
      <c r="R50">
        <v>6.1</v>
      </c>
      <c r="V50" t="s">
        <v>34</v>
      </c>
      <c r="W50" t="s">
        <v>47</v>
      </c>
      <c r="X50">
        <v>6.1</v>
      </c>
      <c r="Y50" t="s">
        <v>39</v>
      </c>
      <c r="AA50">
        <f t="shared" ref="AA50:AA74" si="1">IF(ISBLANK(K50),"",K50-X50)</f>
        <v>0</v>
      </c>
      <c r="AB50">
        <f t="shared" ref="AB50:AB74" si="2">IF(ISBLANK(K50),"",ABS(AA50))</f>
        <v>0</v>
      </c>
    </row>
    <row r="51" spans="1:28" x14ac:dyDescent="0.35">
      <c r="A51" t="s">
        <v>117</v>
      </c>
      <c r="B51" t="s">
        <v>117</v>
      </c>
      <c r="C51" t="s">
        <v>35</v>
      </c>
      <c r="D51" t="s">
        <v>36</v>
      </c>
      <c r="E51">
        <v>6.2149212870000001</v>
      </c>
      <c r="F51">
        <v>0</v>
      </c>
      <c r="G51">
        <v>9</v>
      </c>
      <c r="H51">
        <v>218</v>
      </c>
      <c r="I51" t="s">
        <v>59</v>
      </c>
      <c r="J51" t="s">
        <v>60</v>
      </c>
      <c r="K51">
        <v>6.2</v>
      </c>
      <c r="L51" t="s">
        <v>63</v>
      </c>
      <c r="N51" t="s">
        <v>101</v>
      </c>
      <c r="O51" t="s">
        <v>101</v>
      </c>
      <c r="P51" t="s">
        <v>35</v>
      </c>
      <c r="Q51" t="s">
        <v>36</v>
      </c>
      <c r="R51">
        <v>6.0752908970000004</v>
      </c>
      <c r="S51">
        <v>0</v>
      </c>
      <c r="T51">
        <v>0</v>
      </c>
      <c r="V51" t="s">
        <v>34</v>
      </c>
      <c r="W51" t="s">
        <v>60</v>
      </c>
      <c r="X51">
        <v>6.1</v>
      </c>
      <c r="Y51" t="s">
        <v>39</v>
      </c>
      <c r="AA51">
        <f t="shared" si="1"/>
        <v>0.10000000000000053</v>
      </c>
      <c r="AB51">
        <f t="shared" si="2"/>
        <v>0.10000000000000053</v>
      </c>
    </row>
    <row r="52" spans="1:28" x14ac:dyDescent="0.35">
      <c r="A52" t="s">
        <v>58</v>
      </c>
      <c r="B52" t="s">
        <v>58</v>
      </c>
      <c r="C52" t="s">
        <v>35</v>
      </c>
      <c r="D52" t="s">
        <v>36</v>
      </c>
      <c r="E52">
        <v>6.4229979469999998</v>
      </c>
      <c r="F52">
        <v>0</v>
      </c>
      <c r="G52">
        <v>14</v>
      </c>
      <c r="H52">
        <v>53</v>
      </c>
      <c r="I52" t="s">
        <v>59</v>
      </c>
      <c r="J52" t="s">
        <v>60</v>
      </c>
      <c r="K52">
        <v>6.4</v>
      </c>
      <c r="L52" t="s">
        <v>63</v>
      </c>
      <c r="N52" t="s">
        <v>103</v>
      </c>
      <c r="O52" t="s">
        <v>103</v>
      </c>
      <c r="P52" t="s">
        <v>35</v>
      </c>
      <c r="Q52" t="s">
        <v>36</v>
      </c>
      <c r="R52">
        <v>6.5681040380000004</v>
      </c>
      <c r="S52">
        <v>0</v>
      </c>
      <c r="T52">
        <v>0</v>
      </c>
      <c r="V52" t="s">
        <v>34</v>
      </c>
      <c r="W52" t="s">
        <v>60</v>
      </c>
      <c r="X52">
        <v>6.6</v>
      </c>
      <c r="Y52" t="s">
        <v>39</v>
      </c>
      <c r="AA52">
        <f t="shared" si="1"/>
        <v>-0.19999999999999929</v>
      </c>
      <c r="AB52">
        <f t="shared" si="2"/>
        <v>0.19999999999999929</v>
      </c>
    </row>
    <row r="53" spans="1:28" x14ac:dyDescent="0.35">
      <c r="A53" t="s">
        <v>81</v>
      </c>
      <c r="B53" t="s">
        <v>81</v>
      </c>
      <c r="C53" t="s">
        <v>35</v>
      </c>
      <c r="D53" t="s">
        <v>36</v>
      </c>
      <c r="E53">
        <v>6.4147843939999998</v>
      </c>
      <c r="F53">
        <v>20</v>
      </c>
      <c r="G53">
        <v>21</v>
      </c>
      <c r="H53">
        <v>188</v>
      </c>
      <c r="I53" t="s">
        <v>59</v>
      </c>
      <c r="J53" t="s">
        <v>60</v>
      </c>
      <c r="K53">
        <v>6.4</v>
      </c>
      <c r="L53" t="s">
        <v>63</v>
      </c>
      <c r="N53" t="s">
        <v>105</v>
      </c>
      <c r="O53" t="s">
        <v>105</v>
      </c>
      <c r="P53" t="s">
        <v>35</v>
      </c>
      <c r="Q53" t="s">
        <v>36</v>
      </c>
      <c r="R53">
        <v>6.6748802190000003</v>
      </c>
      <c r="S53">
        <v>0</v>
      </c>
      <c r="T53">
        <v>0</v>
      </c>
      <c r="V53" t="s">
        <v>34</v>
      </c>
      <c r="W53" t="s">
        <v>60</v>
      </c>
      <c r="X53">
        <v>6.7</v>
      </c>
      <c r="Y53" t="s">
        <v>39</v>
      </c>
      <c r="AA53">
        <f t="shared" si="1"/>
        <v>-0.29999999999999982</v>
      </c>
      <c r="AB53">
        <f t="shared" si="2"/>
        <v>0.29999999999999982</v>
      </c>
    </row>
    <row r="54" spans="1:28" x14ac:dyDescent="0.35">
      <c r="A54" t="s">
        <v>118</v>
      </c>
      <c r="B54" t="s">
        <v>118</v>
      </c>
      <c r="C54" t="s">
        <v>35</v>
      </c>
      <c r="D54" t="s">
        <v>36</v>
      </c>
      <c r="E54">
        <v>6.3928815879999998</v>
      </c>
      <c r="F54">
        <v>0</v>
      </c>
      <c r="G54">
        <v>16</v>
      </c>
      <c r="H54">
        <v>33</v>
      </c>
      <c r="I54" t="s">
        <v>59</v>
      </c>
      <c r="J54" t="s">
        <v>60</v>
      </c>
      <c r="K54">
        <v>6.4</v>
      </c>
      <c r="L54" t="s">
        <v>63</v>
      </c>
      <c r="N54" t="s">
        <v>134</v>
      </c>
      <c r="O54" t="s">
        <v>134</v>
      </c>
      <c r="P54" t="s">
        <v>35</v>
      </c>
      <c r="Q54" t="s">
        <v>36</v>
      </c>
      <c r="R54">
        <v>6.7515400410000002</v>
      </c>
      <c r="S54">
        <v>0</v>
      </c>
      <c r="T54">
        <v>0</v>
      </c>
      <c r="V54" t="s">
        <v>34</v>
      </c>
      <c r="W54" t="s">
        <v>60</v>
      </c>
      <c r="X54">
        <v>6.8</v>
      </c>
      <c r="Y54" t="s">
        <v>39</v>
      </c>
      <c r="AA54">
        <f t="shared" si="1"/>
        <v>-0.39999999999999947</v>
      </c>
      <c r="AB54">
        <f t="shared" si="2"/>
        <v>0.39999999999999947</v>
      </c>
    </row>
    <row r="55" spans="1:28" x14ac:dyDescent="0.35">
      <c r="A55" t="s">
        <v>95</v>
      </c>
      <c r="B55" t="s">
        <v>95</v>
      </c>
      <c r="C55" t="s">
        <v>35</v>
      </c>
      <c r="D55" t="s">
        <v>36</v>
      </c>
      <c r="E55">
        <v>6.6447638600000003</v>
      </c>
      <c r="F55">
        <v>10</v>
      </c>
      <c r="G55">
        <v>21</v>
      </c>
      <c r="H55">
        <v>144</v>
      </c>
      <c r="I55" t="s">
        <v>59</v>
      </c>
      <c r="J55" t="s">
        <v>60</v>
      </c>
      <c r="K55">
        <v>6.6</v>
      </c>
      <c r="L55" t="s">
        <v>63</v>
      </c>
      <c r="N55" t="s">
        <v>102</v>
      </c>
      <c r="O55" t="s">
        <v>102</v>
      </c>
      <c r="P55" t="s">
        <v>35</v>
      </c>
      <c r="Q55" t="s">
        <v>36</v>
      </c>
      <c r="R55">
        <v>6.9979466119999998</v>
      </c>
      <c r="S55">
        <v>0</v>
      </c>
      <c r="T55">
        <v>0</v>
      </c>
      <c r="V55" t="s">
        <v>34</v>
      </c>
      <c r="W55" t="s">
        <v>60</v>
      </c>
      <c r="X55">
        <v>7</v>
      </c>
      <c r="Y55" t="s">
        <v>39</v>
      </c>
      <c r="AA55">
        <f t="shared" si="1"/>
        <v>-0.40000000000000036</v>
      </c>
      <c r="AB55">
        <f t="shared" si="2"/>
        <v>0.40000000000000036</v>
      </c>
    </row>
    <row r="56" spans="1:28" x14ac:dyDescent="0.35">
      <c r="A56" t="s">
        <v>122</v>
      </c>
      <c r="B56" t="s">
        <v>122</v>
      </c>
      <c r="C56" t="s">
        <v>35</v>
      </c>
      <c r="D56" t="s">
        <v>36</v>
      </c>
      <c r="E56">
        <v>6.858316222</v>
      </c>
      <c r="F56">
        <v>0</v>
      </c>
      <c r="G56">
        <v>12</v>
      </c>
      <c r="H56">
        <v>360</v>
      </c>
      <c r="I56" t="s">
        <v>59</v>
      </c>
      <c r="J56" t="s">
        <v>60</v>
      </c>
      <c r="K56">
        <v>6.9</v>
      </c>
      <c r="L56" t="s">
        <v>63</v>
      </c>
      <c r="N56" t="s">
        <v>93</v>
      </c>
      <c r="O56" t="s">
        <v>93</v>
      </c>
      <c r="P56" t="s">
        <v>35</v>
      </c>
      <c r="Q56" t="s">
        <v>36</v>
      </c>
      <c r="R56">
        <v>7.0965092399999996</v>
      </c>
      <c r="S56">
        <v>0</v>
      </c>
      <c r="V56" t="s">
        <v>34</v>
      </c>
      <c r="W56" t="s">
        <v>60</v>
      </c>
      <c r="X56">
        <v>7.1</v>
      </c>
      <c r="Y56" t="s">
        <v>39</v>
      </c>
      <c r="AA56">
        <f t="shared" si="1"/>
        <v>-0.19999999999999929</v>
      </c>
      <c r="AB56">
        <f t="shared" si="2"/>
        <v>0.19999999999999929</v>
      </c>
    </row>
    <row r="57" spans="1:28" x14ac:dyDescent="0.35">
      <c r="A57" t="s">
        <v>69</v>
      </c>
      <c r="B57" t="s">
        <v>69</v>
      </c>
      <c r="C57" t="s">
        <v>35</v>
      </c>
      <c r="D57" t="s">
        <v>70</v>
      </c>
      <c r="E57">
        <v>7.2553045860000003</v>
      </c>
      <c r="F57">
        <v>0</v>
      </c>
      <c r="G57">
        <v>11</v>
      </c>
      <c r="H57">
        <v>159</v>
      </c>
      <c r="I57" t="s">
        <v>59</v>
      </c>
      <c r="J57" t="s">
        <v>60</v>
      </c>
      <c r="K57">
        <v>7.3</v>
      </c>
      <c r="L57" t="s">
        <v>63</v>
      </c>
      <c r="N57" t="s">
        <v>164</v>
      </c>
      <c r="O57" t="s">
        <v>164</v>
      </c>
      <c r="P57" t="s">
        <v>35</v>
      </c>
      <c r="Q57" t="s">
        <v>121</v>
      </c>
      <c r="R57">
        <v>7.1184120469999996</v>
      </c>
      <c r="S57">
        <v>0</v>
      </c>
      <c r="T57">
        <v>0</v>
      </c>
      <c r="V57" t="s">
        <v>34</v>
      </c>
      <c r="W57" t="s">
        <v>60</v>
      </c>
      <c r="X57">
        <v>7.1</v>
      </c>
      <c r="Y57" t="s">
        <v>39</v>
      </c>
      <c r="AA57">
        <f t="shared" si="1"/>
        <v>0.20000000000000018</v>
      </c>
      <c r="AB57">
        <f t="shared" si="2"/>
        <v>0.20000000000000018</v>
      </c>
    </row>
    <row r="58" spans="1:28" x14ac:dyDescent="0.35">
      <c r="A58" t="s">
        <v>141</v>
      </c>
      <c r="B58" t="s">
        <v>141</v>
      </c>
      <c r="C58" t="s">
        <v>35</v>
      </c>
      <c r="D58" t="s">
        <v>36</v>
      </c>
      <c r="E58">
        <v>7.6057494869999998</v>
      </c>
      <c r="F58">
        <v>0</v>
      </c>
      <c r="G58">
        <v>12</v>
      </c>
      <c r="H58">
        <v>107</v>
      </c>
      <c r="I58" t="s">
        <v>59</v>
      </c>
      <c r="J58" t="s">
        <v>60</v>
      </c>
      <c r="K58">
        <v>7.6</v>
      </c>
      <c r="L58" t="s">
        <v>63</v>
      </c>
      <c r="N58" t="s">
        <v>107</v>
      </c>
      <c r="O58" t="s">
        <v>107</v>
      </c>
      <c r="P58" t="s">
        <v>35</v>
      </c>
      <c r="Q58" t="s">
        <v>36</v>
      </c>
      <c r="R58">
        <v>7.6495550989999996</v>
      </c>
      <c r="V58" t="s">
        <v>34</v>
      </c>
      <c r="W58" t="s">
        <v>60</v>
      </c>
      <c r="X58">
        <v>7.6</v>
      </c>
      <c r="Y58" t="s">
        <v>39</v>
      </c>
      <c r="AA58">
        <f t="shared" si="1"/>
        <v>0</v>
      </c>
      <c r="AB58">
        <f t="shared" si="2"/>
        <v>0</v>
      </c>
    </row>
    <row r="59" spans="1:28" x14ac:dyDescent="0.35">
      <c r="A59" t="s">
        <v>126</v>
      </c>
      <c r="B59" t="s">
        <v>126</v>
      </c>
      <c r="C59" t="s">
        <v>35</v>
      </c>
      <c r="D59" t="s">
        <v>36</v>
      </c>
      <c r="E59">
        <v>8.0739219710000008</v>
      </c>
      <c r="F59">
        <v>0</v>
      </c>
      <c r="G59">
        <v>12</v>
      </c>
      <c r="H59">
        <v>144</v>
      </c>
      <c r="I59" t="s">
        <v>59</v>
      </c>
      <c r="J59" t="s">
        <v>60</v>
      </c>
      <c r="K59">
        <v>8.1</v>
      </c>
      <c r="L59" t="s">
        <v>63</v>
      </c>
      <c r="N59" t="s">
        <v>177</v>
      </c>
      <c r="O59" t="s">
        <v>177</v>
      </c>
      <c r="P59" t="s">
        <v>35</v>
      </c>
      <c r="Q59" t="s">
        <v>36</v>
      </c>
      <c r="R59">
        <v>8.2217659140000006</v>
      </c>
      <c r="S59">
        <v>0</v>
      </c>
      <c r="T59">
        <v>0</v>
      </c>
      <c r="V59" t="s">
        <v>34</v>
      </c>
      <c r="W59" t="s">
        <v>60</v>
      </c>
      <c r="X59">
        <v>8.1999999999999993</v>
      </c>
      <c r="Y59" t="s">
        <v>39</v>
      </c>
      <c r="AA59">
        <f t="shared" si="1"/>
        <v>-9.9999999999999645E-2</v>
      </c>
      <c r="AB59">
        <f t="shared" si="2"/>
        <v>9.9999999999999645E-2</v>
      </c>
    </row>
    <row r="60" spans="1:28" x14ac:dyDescent="0.35">
      <c r="A60" t="s">
        <v>150</v>
      </c>
      <c r="B60" t="s">
        <v>150</v>
      </c>
      <c r="C60" t="s">
        <v>35</v>
      </c>
      <c r="D60" t="s">
        <v>36</v>
      </c>
      <c r="E60">
        <v>8.2655715260000004</v>
      </c>
      <c r="F60">
        <v>10</v>
      </c>
      <c r="G60">
        <v>17</v>
      </c>
      <c r="H60">
        <v>121</v>
      </c>
      <c r="I60" t="s">
        <v>59</v>
      </c>
      <c r="J60" t="s">
        <v>60</v>
      </c>
      <c r="K60">
        <v>8.3000000000000007</v>
      </c>
      <c r="L60" t="s">
        <v>63</v>
      </c>
      <c r="N60" t="s">
        <v>140</v>
      </c>
      <c r="O60" t="s">
        <v>140</v>
      </c>
      <c r="P60" t="s">
        <v>35</v>
      </c>
      <c r="Q60" t="s">
        <v>36</v>
      </c>
      <c r="R60">
        <v>8.3422313480000003</v>
      </c>
      <c r="S60">
        <v>0</v>
      </c>
      <c r="T60">
        <v>0</v>
      </c>
      <c r="V60" t="s">
        <v>34</v>
      </c>
      <c r="W60" t="s">
        <v>60</v>
      </c>
      <c r="X60">
        <v>8.3000000000000007</v>
      </c>
      <c r="Y60" t="s">
        <v>39</v>
      </c>
      <c r="AA60">
        <f t="shared" si="1"/>
        <v>0</v>
      </c>
      <c r="AB60">
        <f t="shared" si="2"/>
        <v>0</v>
      </c>
    </row>
    <row r="61" spans="1:28" x14ac:dyDescent="0.35">
      <c r="A61" t="s">
        <v>76</v>
      </c>
      <c r="B61" t="s">
        <v>76</v>
      </c>
      <c r="C61" t="s">
        <v>35</v>
      </c>
      <c r="D61" t="s">
        <v>36</v>
      </c>
      <c r="E61">
        <v>8.6406570840000008</v>
      </c>
      <c r="F61">
        <v>5</v>
      </c>
      <c r="G61">
        <v>24</v>
      </c>
      <c r="H61">
        <v>95</v>
      </c>
      <c r="I61" t="s">
        <v>59</v>
      </c>
      <c r="J61" t="s">
        <v>60</v>
      </c>
      <c r="K61">
        <v>8.6</v>
      </c>
      <c r="L61" t="s">
        <v>63</v>
      </c>
      <c r="N61" t="s">
        <v>182</v>
      </c>
      <c r="O61" t="s">
        <v>182</v>
      </c>
      <c r="P61" t="s">
        <v>35</v>
      </c>
      <c r="Q61" t="s">
        <v>36</v>
      </c>
      <c r="R61">
        <v>8.7419575629999997</v>
      </c>
      <c r="S61">
        <v>0</v>
      </c>
      <c r="T61">
        <v>0</v>
      </c>
      <c r="V61" t="s">
        <v>34</v>
      </c>
      <c r="W61" t="s">
        <v>60</v>
      </c>
      <c r="X61">
        <v>8.6999999999999993</v>
      </c>
      <c r="Y61" t="s">
        <v>39</v>
      </c>
      <c r="AA61">
        <f t="shared" si="1"/>
        <v>-9.9999999999999645E-2</v>
      </c>
      <c r="AB61">
        <f t="shared" si="2"/>
        <v>9.9999999999999645E-2</v>
      </c>
    </row>
    <row r="62" spans="1:28" x14ac:dyDescent="0.35">
      <c r="A62" t="s">
        <v>100</v>
      </c>
      <c r="B62" t="s">
        <v>100</v>
      </c>
      <c r="C62" t="s">
        <v>35</v>
      </c>
      <c r="D62" t="s">
        <v>36</v>
      </c>
      <c r="E62">
        <v>8.7556468170000006</v>
      </c>
      <c r="F62">
        <v>0</v>
      </c>
      <c r="G62">
        <v>13</v>
      </c>
      <c r="H62">
        <v>82</v>
      </c>
      <c r="I62" t="s">
        <v>59</v>
      </c>
      <c r="J62" t="s">
        <v>60</v>
      </c>
      <c r="K62">
        <v>8.8000000000000007</v>
      </c>
      <c r="L62" t="s">
        <v>63</v>
      </c>
      <c r="N62" t="s">
        <v>136</v>
      </c>
      <c r="O62" t="s">
        <v>136</v>
      </c>
      <c r="P62" t="s">
        <v>35</v>
      </c>
      <c r="Q62" t="s">
        <v>36</v>
      </c>
      <c r="R62">
        <v>8.8870636550000004</v>
      </c>
      <c r="S62">
        <v>0</v>
      </c>
      <c r="T62">
        <v>0</v>
      </c>
      <c r="V62" t="s">
        <v>34</v>
      </c>
      <c r="W62" t="s">
        <v>60</v>
      </c>
      <c r="X62">
        <v>8.9</v>
      </c>
      <c r="Y62" t="s">
        <v>39</v>
      </c>
      <c r="AA62">
        <f t="shared" si="1"/>
        <v>-9.9999999999999645E-2</v>
      </c>
      <c r="AB62">
        <f t="shared" si="2"/>
        <v>9.9999999999999645E-2</v>
      </c>
    </row>
    <row r="63" spans="1:28" x14ac:dyDescent="0.35">
      <c r="A63" t="s">
        <v>158</v>
      </c>
      <c r="B63" t="s">
        <v>158</v>
      </c>
      <c r="C63" t="s">
        <v>35</v>
      </c>
      <c r="D63" t="s">
        <v>36</v>
      </c>
      <c r="E63">
        <v>8.9363449690000003</v>
      </c>
      <c r="F63">
        <v>0</v>
      </c>
      <c r="G63">
        <v>23</v>
      </c>
      <c r="H63">
        <v>297</v>
      </c>
      <c r="I63" t="s">
        <v>59</v>
      </c>
      <c r="J63" t="s">
        <v>60</v>
      </c>
      <c r="K63">
        <v>8.9</v>
      </c>
      <c r="L63" t="s">
        <v>63</v>
      </c>
      <c r="N63" t="s">
        <v>104</v>
      </c>
      <c r="O63" t="s">
        <v>104</v>
      </c>
      <c r="P63" t="s">
        <v>35</v>
      </c>
      <c r="Q63" t="s">
        <v>36</v>
      </c>
      <c r="R63">
        <v>9.0294318960000002</v>
      </c>
      <c r="S63">
        <v>0</v>
      </c>
      <c r="T63">
        <v>0</v>
      </c>
      <c r="V63" t="s">
        <v>34</v>
      </c>
      <c r="W63" t="s">
        <v>60</v>
      </c>
      <c r="X63">
        <v>9</v>
      </c>
      <c r="Y63" t="s">
        <v>39</v>
      </c>
      <c r="AA63">
        <f t="shared" si="1"/>
        <v>-9.9999999999999645E-2</v>
      </c>
      <c r="AB63">
        <f t="shared" si="2"/>
        <v>9.9999999999999645E-2</v>
      </c>
    </row>
    <row r="64" spans="1:28" x14ac:dyDescent="0.35">
      <c r="A64" t="s">
        <v>149</v>
      </c>
      <c r="B64" t="s">
        <v>149</v>
      </c>
      <c r="C64" t="s">
        <v>35</v>
      </c>
      <c r="D64" t="s">
        <v>36</v>
      </c>
      <c r="E64">
        <v>9.1060917180000001</v>
      </c>
      <c r="F64">
        <v>0</v>
      </c>
      <c r="G64">
        <v>14</v>
      </c>
      <c r="H64">
        <v>271</v>
      </c>
      <c r="I64" t="s">
        <v>59</v>
      </c>
      <c r="J64" t="s">
        <v>60</v>
      </c>
      <c r="K64">
        <v>9.1</v>
      </c>
      <c r="L64" t="s">
        <v>63</v>
      </c>
      <c r="N64" t="s">
        <v>33</v>
      </c>
      <c r="O64" t="s">
        <v>33</v>
      </c>
      <c r="P64" t="s">
        <v>35</v>
      </c>
      <c r="Q64" t="s">
        <v>36</v>
      </c>
      <c r="R64">
        <v>9.1999999999999993</v>
      </c>
      <c r="V64" t="s">
        <v>34</v>
      </c>
      <c r="W64" t="s">
        <v>37</v>
      </c>
      <c r="X64">
        <v>9.1999999999999993</v>
      </c>
      <c r="Y64" t="s">
        <v>39</v>
      </c>
      <c r="AA64">
        <f t="shared" si="1"/>
        <v>-9.9999999999999645E-2</v>
      </c>
      <c r="AB64">
        <f t="shared" si="2"/>
        <v>9.9999999999999645E-2</v>
      </c>
    </row>
    <row r="65" spans="1:29" x14ac:dyDescent="0.35">
      <c r="A65" t="s">
        <v>116</v>
      </c>
      <c r="B65" t="s">
        <v>116</v>
      </c>
      <c r="C65" t="s">
        <v>35</v>
      </c>
      <c r="D65" t="s">
        <v>36</v>
      </c>
      <c r="E65">
        <v>9.1937029429999999</v>
      </c>
      <c r="F65">
        <v>10</v>
      </c>
      <c r="G65">
        <v>17</v>
      </c>
      <c r="H65">
        <v>245</v>
      </c>
      <c r="I65" t="s">
        <v>59</v>
      </c>
      <c r="J65" t="s">
        <v>60</v>
      </c>
      <c r="K65">
        <v>9.1999999999999993</v>
      </c>
      <c r="L65" t="s">
        <v>63</v>
      </c>
      <c r="N65" t="s">
        <v>51</v>
      </c>
      <c r="O65" t="s">
        <v>51</v>
      </c>
      <c r="P65" t="s">
        <v>35</v>
      </c>
      <c r="Q65" t="s">
        <v>36</v>
      </c>
      <c r="R65">
        <v>9.1999999999999993</v>
      </c>
      <c r="V65" t="s">
        <v>34</v>
      </c>
      <c r="W65" t="s">
        <v>47</v>
      </c>
      <c r="X65">
        <v>9.1999999999999993</v>
      </c>
      <c r="Y65" t="s">
        <v>39</v>
      </c>
      <c r="AA65">
        <f t="shared" si="1"/>
        <v>0</v>
      </c>
      <c r="AB65">
        <f t="shared" si="2"/>
        <v>0</v>
      </c>
    </row>
    <row r="66" spans="1:29" x14ac:dyDescent="0.35">
      <c r="A66" t="s">
        <v>77</v>
      </c>
      <c r="B66" t="s">
        <v>77</v>
      </c>
      <c r="C66" t="s">
        <v>35</v>
      </c>
      <c r="D66" t="s">
        <v>70</v>
      </c>
      <c r="E66">
        <v>9.722108145</v>
      </c>
      <c r="F66">
        <v>20</v>
      </c>
      <c r="G66">
        <v>18</v>
      </c>
      <c r="H66">
        <v>112</v>
      </c>
      <c r="I66" t="s">
        <v>59</v>
      </c>
      <c r="J66" t="s">
        <v>60</v>
      </c>
      <c r="K66">
        <v>9.6999999999999993</v>
      </c>
      <c r="L66" t="s">
        <v>63</v>
      </c>
      <c r="N66" t="s">
        <v>97</v>
      </c>
      <c r="O66" t="s">
        <v>97</v>
      </c>
      <c r="P66" t="s">
        <v>35</v>
      </c>
      <c r="Q66" t="s">
        <v>70</v>
      </c>
      <c r="R66">
        <v>9.1854893910000008</v>
      </c>
      <c r="S66">
        <v>0</v>
      </c>
      <c r="T66">
        <v>0</v>
      </c>
      <c r="V66" t="s">
        <v>34</v>
      </c>
      <c r="W66" t="s">
        <v>60</v>
      </c>
      <c r="X66">
        <v>9.1999999999999993</v>
      </c>
      <c r="Y66" t="s">
        <v>39</v>
      </c>
      <c r="AA66">
        <f t="shared" si="1"/>
        <v>0.5</v>
      </c>
      <c r="AB66">
        <f t="shared" si="2"/>
        <v>0.5</v>
      </c>
    </row>
    <row r="67" spans="1:29" x14ac:dyDescent="0.35">
      <c r="A67" t="s">
        <v>149</v>
      </c>
      <c r="B67" t="s">
        <v>149</v>
      </c>
      <c r="C67" t="s">
        <v>35</v>
      </c>
      <c r="D67" t="s">
        <v>36</v>
      </c>
      <c r="E67">
        <v>9.1060917180000001</v>
      </c>
      <c r="F67">
        <v>0</v>
      </c>
      <c r="G67">
        <v>14</v>
      </c>
      <c r="H67">
        <v>271</v>
      </c>
      <c r="I67" t="s">
        <v>59</v>
      </c>
      <c r="J67" t="s">
        <v>60</v>
      </c>
      <c r="K67">
        <v>9.1</v>
      </c>
      <c r="L67" t="s">
        <v>63</v>
      </c>
      <c r="N67" t="s">
        <v>112</v>
      </c>
      <c r="O67" t="s">
        <v>112</v>
      </c>
      <c r="P67" t="s">
        <v>35</v>
      </c>
      <c r="Q67" t="s">
        <v>36</v>
      </c>
      <c r="R67">
        <v>9.3716632440000005</v>
      </c>
      <c r="S67">
        <v>0</v>
      </c>
      <c r="T67">
        <v>0</v>
      </c>
      <c r="V67" t="s">
        <v>34</v>
      </c>
      <c r="W67" t="s">
        <v>60</v>
      </c>
      <c r="X67">
        <v>9.4</v>
      </c>
      <c r="Y67" t="s">
        <v>39</v>
      </c>
      <c r="AA67">
        <f t="shared" si="1"/>
        <v>-0.30000000000000071</v>
      </c>
      <c r="AB67">
        <f t="shared" si="2"/>
        <v>0.30000000000000071</v>
      </c>
    </row>
    <row r="68" spans="1:29" x14ac:dyDescent="0.35">
      <c r="A68" t="s">
        <v>116</v>
      </c>
      <c r="B68" t="s">
        <v>116</v>
      </c>
      <c r="C68" t="s">
        <v>35</v>
      </c>
      <c r="D68" t="s">
        <v>36</v>
      </c>
      <c r="E68">
        <v>9.1937029429999999</v>
      </c>
      <c r="F68">
        <v>10</v>
      </c>
      <c r="G68">
        <v>17</v>
      </c>
      <c r="H68">
        <v>245</v>
      </c>
      <c r="I68" t="s">
        <v>59</v>
      </c>
      <c r="J68" t="s">
        <v>60</v>
      </c>
      <c r="K68">
        <v>9.1999999999999993</v>
      </c>
      <c r="L68" t="s">
        <v>63</v>
      </c>
      <c r="N68" t="s">
        <v>49</v>
      </c>
      <c r="O68" t="s">
        <v>49</v>
      </c>
      <c r="P68" t="s">
        <v>35</v>
      </c>
      <c r="Q68" t="s">
        <v>36</v>
      </c>
      <c r="R68">
        <v>9.9</v>
      </c>
      <c r="V68" t="s">
        <v>34</v>
      </c>
      <c r="W68" t="s">
        <v>47</v>
      </c>
      <c r="X68">
        <v>9.9</v>
      </c>
      <c r="Y68" t="s">
        <v>39</v>
      </c>
      <c r="AA68">
        <f t="shared" si="1"/>
        <v>-0.70000000000000107</v>
      </c>
      <c r="AB68">
        <f t="shared" si="2"/>
        <v>0.70000000000000107</v>
      </c>
    </row>
    <row r="69" spans="1:29" x14ac:dyDescent="0.35">
      <c r="A69" t="s">
        <v>148</v>
      </c>
      <c r="B69" t="s">
        <v>148</v>
      </c>
      <c r="C69" t="s">
        <v>35</v>
      </c>
      <c r="D69" t="s">
        <v>36</v>
      </c>
      <c r="E69">
        <v>9.9958932239999996</v>
      </c>
      <c r="F69">
        <v>20</v>
      </c>
      <c r="G69">
        <v>25</v>
      </c>
      <c r="H69">
        <v>129</v>
      </c>
      <c r="I69" t="s">
        <v>59</v>
      </c>
      <c r="J69" t="s">
        <v>60</v>
      </c>
      <c r="K69">
        <v>10</v>
      </c>
      <c r="L69" t="s">
        <v>63</v>
      </c>
      <c r="N69" t="s">
        <v>119</v>
      </c>
      <c r="O69" t="s">
        <v>119</v>
      </c>
      <c r="P69" t="s">
        <v>35</v>
      </c>
      <c r="Q69" t="s">
        <v>36</v>
      </c>
      <c r="R69">
        <v>10.04517454</v>
      </c>
      <c r="S69">
        <v>0</v>
      </c>
      <c r="T69">
        <v>0</v>
      </c>
      <c r="V69" t="s">
        <v>34</v>
      </c>
      <c r="W69" t="s">
        <v>60</v>
      </c>
      <c r="X69">
        <v>10</v>
      </c>
      <c r="Y69" t="s">
        <v>39</v>
      </c>
      <c r="AA69">
        <f t="shared" si="1"/>
        <v>0</v>
      </c>
      <c r="AB69">
        <f t="shared" si="2"/>
        <v>0</v>
      </c>
    </row>
    <row r="70" spans="1:29" x14ac:dyDescent="0.35">
      <c r="A70" t="s">
        <v>67</v>
      </c>
      <c r="B70" t="s">
        <v>67</v>
      </c>
      <c r="C70" t="s">
        <v>35</v>
      </c>
      <c r="D70" t="s">
        <v>36</v>
      </c>
      <c r="E70">
        <v>10.31622177</v>
      </c>
      <c r="F70">
        <v>0</v>
      </c>
      <c r="G70">
        <v>10</v>
      </c>
      <c r="H70">
        <v>95</v>
      </c>
      <c r="I70" t="s">
        <v>59</v>
      </c>
      <c r="J70" t="s">
        <v>60</v>
      </c>
      <c r="K70">
        <v>10.3</v>
      </c>
      <c r="L70" t="s">
        <v>63</v>
      </c>
      <c r="N70" t="s">
        <v>50</v>
      </c>
      <c r="O70" t="s">
        <v>50</v>
      </c>
      <c r="P70" t="s">
        <v>35</v>
      </c>
      <c r="Q70" t="s">
        <v>36</v>
      </c>
      <c r="R70">
        <v>10.1</v>
      </c>
      <c r="V70" t="s">
        <v>34</v>
      </c>
      <c r="W70" t="s">
        <v>47</v>
      </c>
      <c r="X70">
        <v>10.1</v>
      </c>
      <c r="Y70" t="s">
        <v>39</v>
      </c>
      <c r="AA70">
        <f t="shared" si="1"/>
        <v>0.20000000000000107</v>
      </c>
      <c r="AB70">
        <f t="shared" si="2"/>
        <v>0.20000000000000107</v>
      </c>
    </row>
    <row r="71" spans="1:29" x14ac:dyDescent="0.35">
      <c r="A71" t="s">
        <v>171</v>
      </c>
      <c r="B71" t="s">
        <v>171</v>
      </c>
      <c r="C71" t="s">
        <v>35</v>
      </c>
      <c r="D71" t="s">
        <v>36</v>
      </c>
      <c r="E71">
        <v>10.32169747</v>
      </c>
      <c r="F71">
        <v>0</v>
      </c>
      <c r="G71">
        <v>12</v>
      </c>
      <c r="H71">
        <v>112</v>
      </c>
      <c r="I71" t="s">
        <v>59</v>
      </c>
      <c r="J71" t="s">
        <v>60</v>
      </c>
      <c r="K71">
        <v>10.3</v>
      </c>
      <c r="L71" t="s">
        <v>63</v>
      </c>
      <c r="N71" t="s">
        <v>48</v>
      </c>
      <c r="O71" t="s">
        <v>48</v>
      </c>
      <c r="P71" t="s">
        <v>35</v>
      </c>
      <c r="Q71" t="s">
        <v>36</v>
      </c>
      <c r="R71">
        <v>10.6</v>
      </c>
      <c r="V71" t="s">
        <v>34</v>
      </c>
      <c r="W71" t="s">
        <v>47</v>
      </c>
      <c r="X71">
        <v>10.6</v>
      </c>
      <c r="Y71" t="s">
        <v>39</v>
      </c>
      <c r="AA71">
        <f t="shared" si="1"/>
        <v>-0.29999999999999893</v>
      </c>
      <c r="AB71">
        <f t="shared" si="2"/>
        <v>0.29999999999999893</v>
      </c>
    </row>
    <row r="72" spans="1:29" x14ac:dyDescent="0.35">
      <c r="A72" t="s">
        <v>86</v>
      </c>
      <c r="B72" t="s">
        <v>86</v>
      </c>
      <c r="C72" t="s">
        <v>35</v>
      </c>
      <c r="D72" t="s">
        <v>36</v>
      </c>
      <c r="E72">
        <v>10.644763859999999</v>
      </c>
      <c r="F72">
        <v>20</v>
      </c>
      <c r="G72">
        <v>15</v>
      </c>
      <c r="H72">
        <v>253</v>
      </c>
      <c r="I72" t="s">
        <v>59</v>
      </c>
      <c r="J72" t="s">
        <v>60</v>
      </c>
      <c r="K72">
        <v>10.6</v>
      </c>
      <c r="L72" t="s">
        <v>63</v>
      </c>
      <c r="N72" t="s">
        <v>130</v>
      </c>
      <c r="O72" t="s">
        <v>130</v>
      </c>
      <c r="P72" t="s">
        <v>35</v>
      </c>
      <c r="Q72" t="s">
        <v>36</v>
      </c>
      <c r="R72">
        <v>10.72416153</v>
      </c>
      <c r="S72">
        <v>0</v>
      </c>
      <c r="T72">
        <v>0</v>
      </c>
      <c r="V72" t="s">
        <v>34</v>
      </c>
      <c r="W72" t="s">
        <v>60</v>
      </c>
      <c r="X72">
        <v>10.7</v>
      </c>
      <c r="Y72" t="s">
        <v>39</v>
      </c>
      <c r="AA72">
        <f t="shared" si="1"/>
        <v>-9.9999999999999645E-2</v>
      </c>
      <c r="AB72">
        <f t="shared" si="2"/>
        <v>9.9999999999999645E-2</v>
      </c>
    </row>
    <row r="73" spans="1:29" x14ac:dyDescent="0.35">
      <c r="A73" t="s">
        <v>65</v>
      </c>
      <c r="B73" t="s">
        <v>65</v>
      </c>
      <c r="C73" t="s">
        <v>35</v>
      </c>
      <c r="D73" t="s">
        <v>36</v>
      </c>
      <c r="E73">
        <v>10.650239559999999</v>
      </c>
      <c r="F73">
        <v>10</v>
      </c>
      <c r="G73">
        <v>13</v>
      </c>
      <c r="H73">
        <v>107</v>
      </c>
      <c r="I73" t="s">
        <v>59</v>
      </c>
      <c r="J73" t="s">
        <v>60</v>
      </c>
      <c r="K73">
        <v>10.7</v>
      </c>
      <c r="L73" t="s">
        <v>63</v>
      </c>
      <c r="N73" t="s">
        <v>146</v>
      </c>
      <c r="O73" t="s">
        <v>146</v>
      </c>
      <c r="P73" t="s">
        <v>35</v>
      </c>
      <c r="Q73" t="s">
        <v>36</v>
      </c>
      <c r="R73">
        <v>10.91581109</v>
      </c>
      <c r="S73">
        <v>0</v>
      </c>
      <c r="T73">
        <v>0</v>
      </c>
      <c r="V73" t="s">
        <v>34</v>
      </c>
      <c r="W73" t="s">
        <v>60</v>
      </c>
      <c r="X73">
        <v>10.9</v>
      </c>
      <c r="Y73" t="s">
        <v>39</v>
      </c>
      <c r="AA73">
        <f t="shared" si="1"/>
        <v>-0.20000000000000107</v>
      </c>
      <c r="AB73">
        <f t="shared" si="2"/>
        <v>0.20000000000000107</v>
      </c>
    </row>
    <row r="74" spans="1:29" x14ac:dyDescent="0.35">
      <c r="A74" t="s">
        <v>123</v>
      </c>
      <c r="B74" t="s">
        <v>123</v>
      </c>
      <c r="C74" t="s">
        <v>35</v>
      </c>
      <c r="D74" t="s">
        <v>36</v>
      </c>
      <c r="E74">
        <v>10.954141</v>
      </c>
      <c r="F74">
        <v>10</v>
      </c>
      <c r="G74">
        <v>7</v>
      </c>
      <c r="H74">
        <v>33</v>
      </c>
      <c r="I74" t="s">
        <v>59</v>
      </c>
      <c r="J74" t="s">
        <v>60</v>
      </c>
      <c r="K74">
        <v>11</v>
      </c>
      <c r="L74" t="s">
        <v>63</v>
      </c>
      <c r="N74" t="s">
        <v>181</v>
      </c>
      <c r="O74" t="s">
        <v>181</v>
      </c>
      <c r="P74" t="s">
        <v>35</v>
      </c>
      <c r="Q74" t="s">
        <v>36</v>
      </c>
      <c r="R74">
        <v>10.98151951</v>
      </c>
      <c r="S74">
        <v>0</v>
      </c>
      <c r="T74">
        <v>0</v>
      </c>
      <c r="V74" t="s">
        <v>34</v>
      </c>
      <c r="W74" t="s">
        <v>60</v>
      </c>
      <c r="X74">
        <v>11</v>
      </c>
      <c r="Y74" t="s">
        <v>39</v>
      </c>
      <c r="AA74">
        <f t="shared" si="1"/>
        <v>0</v>
      </c>
      <c r="AB74">
        <f t="shared" si="2"/>
        <v>0</v>
      </c>
    </row>
    <row r="76" spans="1:29" x14ac:dyDescent="0.35">
      <c r="AA76">
        <f>MIN(AA49:AA74)</f>
        <v>-0.70000000000000107</v>
      </c>
      <c r="AB76">
        <f>MIN(AB49:AB74)</f>
        <v>0</v>
      </c>
      <c r="AC76" s="5" t="s">
        <v>187</v>
      </c>
    </row>
    <row r="77" spans="1:29" x14ac:dyDescent="0.35">
      <c r="AA77" s="6">
        <f>MEDIAN(AA49:AA74)</f>
        <v>-9.9999999999999645E-2</v>
      </c>
      <c r="AB77" s="6">
        <f>MEDIAN(AB49:AB74)</f>
        <v>0.10000000000000009</v>
      </c>
      <c r="AC77" s="5" t="s">
        <v>184</v>
      </c>
    </row>
    <row r="78" spans="1:29" x14ac:dyDescent="0.35">
      <c r="AA78" s="7">
        <f>AVERAGE(AA49:AA74)</f>
        <v>-9.9999999999999853E-2</v>
      </c>
      <c r="AB78" s="6">
        <f>AVERAGE(AB49:AB74)</f>
        <v>0.17692307692307691</v>
      </c>
      <c r="AC78" s="5" t="s">
        <v>185</v>
      </c>
    </row>
    <row r="79" spans="1:29" x14ac:dyDescent="0.35">
      <c r="AA79" s="6">
        <f>MAX(AA49:AA74)</f>
        <v>0.5</v>
      </c>
      <c r="AB79" s="6">
        <f>MAX(AB49:AB74)</f>
        <v>0.70000000000000107</v>
      </c>
      <c r="AC79" s="5" t="s">
        <v>183</v>
      </c>
    </row>
  </sheetData>
  <sortState xmlns:xlrd2="http://schemas.microsoft.com/office/spreadsheetml/2017/richdata2" ref="A2:L95">
    <sortCondition ref="L2:L95"/>
    <sortCondition ref="K2:K95"/>
  </sortState>
  <conditionalFormatting sqref="D2:D45">
    <cfRule type="cellIs" dxfId="73" priority="20" operator="notEqual">
      <formula>"R"</formula>
    </cfRule>
  </conditionalFormatting>
  <conditionalFormatting sqref="Q2:Q27">
    <cfRule type="cellIs" dxfId="72" priority="19" operator="notEqual">
      <formula>"R"</formula>
    </cfRule>
  </conditionalFormatting>
  <conditionalFormatting sqref="Q49:Q74">
    <cfRule type="cellIs" dxfId="71" priority="18" operator="notEqual">
      <formula>"R"</formula>
    </cfRule>
  </conditionalFormatting>
  <conditionalFormatting sqref="Z2:Z27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4">
    <cfRule type="cellIs" dxfId="70" priority="16" operator="notEqual">
      <formula>"R"</formula>
    </cfRule>
  </conditionalFormatting>
  <conditionalFormatting sqref="D69:D73">
    <cfRule type="cellIs" dxfId="68" priority="15" operator="notEqual">
      <formula>"R"</formula>
    </cfRule>
  </conditionalFormatting>
  <conditionalFormatting sqref="D68">
    <cfRule type="cellIs" dxfId="67" priority="14" operator="notEqual">
      <formula>"R"</formula>
    </cfRule>
  </conditionalFormatting>
  <conditionalFormatting sqref="D67">
    <cfRule type="cellIs" dxfId="66" priority="13" operator="notEqual">
      <formula>"R"</formula>
    </cfRule>
  </conditionalFormatting>
  <conditionalFormatting sqref="D66">
    <cfRule type="cellIs" dxfId="65" priority="12" operator="notEqual">
      <formula>"R"</formula>
    </cfRule>
  </conditionalFormatting>
  <conditionalFormatting sqref="D64:D65">
    <cfRule type="cellIs" dxfId="64" priority="11" operator="notEqual">
      <formula>"R"</formula>
    </cfRule>
  </conditionalFormatting>
  <conditionalFormatting sqref="D63">
    <cfRule type="cellIs" dxfId="63" priority="10" operator="notEqual">
      <formula>"R"</formula>
    </cfRule>
  </conditionalFormatting>
  <conditionalFormatting sqref="D61:D62">
    <cfRule type="cellIs" dxfId="62" priority="9" operator="notEqual">
      <formula>"R"</formula>
    </cfRule>
  </conditionalFormatting>
  <conditionalFormatting sqref="D60">
    <cfRule type="cellIs" dxfId="61" priority="8" operator="notEqual">
      <formula>"R"</formula>
    </cfRule>
  </conditionalFormatting>
  <conditionalFormatting sqref="D59">
    <cfRule type="cellIs" dxfId="60" priority="7" operator="notEqual">
      <formula>"R"</formula>
    </cfRule>
  </conditionalFormatting>
  <conditionalFormatting sqref="D58">
    <cfRule type="cellIs" dxfId="59" priority="6" operator="notEqual">
      <formula>"R"</formula>
    </cfRule>
  </conditionalFormatting>
  <conditionalFormatting sqref="D57">
    <cfRule type="cellIs" dxfId="58" priority="5" operator="notEqual">
      <formula>"R"</formula>
    </cfRule>
  </conditionalFormatting>
  <conditionalFormatting sqref="D55:D56">
    <cfRule type="cellIs" dxfId="57" priority="4" operator="notEqual">
      <formula>"R"</formula>
    </cfRule>
  </conditionalFormatting>
  <conditionalFormatting sqref="D52:D54">
    <cfRule type="cellIs" dxfId="56" priority="3" operator="notEqual">
      <formula>"R"</formula>
    </cfRule>
  </conditionalFormatting>
  <conditionalFormatting sqref="D50:D51">
    <cfRule type="cellIs" dxfId="55" priority="2" operator="notEqual">
      <formula>"R"</formula>
    </cfRule>
  </conditionalFormatting>
  <conditionalFormatting sqref="D49">
    <cfRule type="cellIs" dxfId="54" priority="1" operator="notEqual">
      <formula>"R"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0CAB-5A9E-4288-A2BE-D86F4A934E77}">
  <dimension ref="A1:AC41"/>
  <sheetViews>
    <sheetView tabSelected="1" workbookViewId="0">
      <selection activeCell="AD18" sqref="AD18"/>
    </sheetView>
  </sheetViews>
  <sheetFormatPr defaultRowHeight="14.5" x14ac:dyDescent="0.35"/>
  <cols>
    <col min="5" max="5" width="8.7265625" style="11"/>
    <col min="18" max="18" width="8.7265625" style="11"/>
  </cols>
  <sheetData>
    <row r="1" spans="1:28" x14ac:dyDescent="0.35">
      <c r="A1" t="s">
        <v>0</v>
      </c>
      <c r="B1" t="s">
        <v>1</v>
      </c>
      <c r="C1" t="s">
        <v>3</v>
      </c>
      <c r="D1" t="s">
        <v>4</v>
      </c>
      <c r="E1" s="1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14</v>
      </c>
      <c r="L1" t="s">
        <v>17</v>
      </c>
      <c r="N1" t="s">
        <v>0</v>
      </c>
      <c r="O1" t="s">
        <v>1</v>
      </c>
      <c r="P1" t="s">
        <v>3</v>
      </c>
      <c r="Q1" t="s">
        <v>4</v>
      </c>
      <c r="R1" s="11" t="s">
        <v>5</v>
      </c>
      <c r="S1" t="s">
        <v>6</v>
      </c>
      <c r="T1" t="s">
        <v>7</v>
      </c>
      <c r="U1" t="s">
        <v>8</v>
      </c>
      <c r="V1" t="s">
        <v>9</v>
      </c>
      <c r="W1" t="s">
        <v>11</v>
      </c>
      <c r="X1" t="s">
        <v>14</v>
      </c>
      <c r="Y1" t="s">
        <v>17</v>
      </c>
      <c r="AA1" s="5" t="s">
        <v>16</v>
      </c>
      <c r="AB1" s="5" t="s">
        <v>186</v>
      </c>
    </row>
    <row r="2" spans="1:28" x14ac:dyDescent="0.35">
      <c r="A2" t="s">
        <v>68</v>
      </c>
      <c r="B2" t="s">
        <v>68</v>
      </c>
      <c r="C2" t="s">
        <v>35</v>
      </c>
      <c r="D2" t="s">
        <v>36</v>
      </c>
      <c r="E2" s="11">
        <v>5.700205339</v>
      </c>
      <c r="F2">
        <v>0</v>
      </c>
      <c r="G2">
        <v>13</v>
      </c>
      <c r="H2">
        <v>111</v>
      </c>
      <c r="I2" t="s">
        <v>59</v>
      </c>
      <c r="J2" t="s">
        <v>60</v>
      </c>
      <c r="K2" s="11">
        <v>5.7</v>
      </c>
      <c r="L2" s="3" t="s">
        <v>63</v>
      </c>
      <c r="N2" t="s">
        <v>179</v>
      </c>
      <c r="O2" t="s">
        <v>179</v>
      </c>
      <c r="P2" t="s">
        <v>35</v>
      </c>
      <c r="Q2" t="s">
        <v>36</v>
      </c>
      <c r="R2" s="11">
        <v>5.667351129</v>
      </c>
      <c r="S2">
        <v>0</v>
      </c>
      <c r="T2">
        <v>0</v>
      </c>
      <c r="V2" t="s">
        <v>34</v>
      </c>
      <c r="W2" t="s">
        <v>60</v>
      </c>
      <c r="X2" s="11">
        <v>5.7</v>
      </c>
      <c r="Y2" s="8" t="s">
        <v>39</v>
      </c>
      <c r="AA2">
        <f>IF(ISBLANK(K2),"",K2-X2)</f>
        <v>0</v>
      </c>
      <c r="AB2">
        <f>IF(ISBLANK(K2),"",ABS(AA2))</f>
        <v>0</v>
      </c>
    </row>
    <row r="3" spans="1:28" x14ac:dyDescent="0.35">
      <c r="A3" t="s">
        <v>109</v>
      </c>
      <c r="B3" t="s">
        <v>109</v>
      </c>
      <c r="C3" t="s">
        <v>35</v>
      </c>
      <c r="D3" t="s">
        <v>36</v>
      </c>
      <c r="E3" s="11">
        <v>6.1355236140000002</v>
      </c>
      <c r="F3">
        <v>0</v>
      </c>
      <c r="G3">
        <v>19</v>
      </c>
      <c r="H3">
        <v>157</v>
      </c>
      <c r="I3" t="s">
        <v>59</v>
      </c>
      <c r="J3" t="s">
        <v>60</v>
      </c>
      <c r="K3" s="11">
        <v>6.1</v>
      </c>
      <c r="L3" s="3" t="s">
        <v>63</v>
      </c>
      <c r="N3" t="s">
        <v>46</v>
      </c>
      <c r="O3" t="s">
        <v>46</v>
      </c>
      <c r="P3" t="s">
        <v>35</v>
      </c>
      <c r="Q3" t="s">
        <v>36</v>
      </c>
      <c r="R3" s="11">
        <v>6.1</v>
      </c>
      <c r="V3" t="s">
        <v>34</v>
      </c>
      <c r="W3" t="s">
        <v>47</v>
      </c>
      <c r="X3" s="11">
        <v>6.1</v>
      </c>
      <c r="Y3" s="8" t="s">
        <v>39</v>
      </c>
      <c r="AA3">
        <f t="shared" ref="AA3:AA27" si="0">IF(ISBLANK(K3),"",K3-X3)</f>
        <v>0</v>
      </c>
      <c r="AB3">
        <f t="shared" ref="AB3:AB27" si="1">IF(ISBLANK(K3),"",ABS(AA3))</f>
        <v>0</v>
      </c>
    </row>
    <row r="4" spans="1:28" x14ac:dyDescent="0.35">
      <c r="A4" t="s">
        <v>117</v>
      </c>
      <c r="B4" t="s">
        <v>117</v>
      </c>
      <c r="C4" t="s">
        <v>35</v>
      </c>
      <c r="D4" t="s">
        <v>36</v>
      </c>
      <c r="E4" s="11">
        <v>6.2149212870000001</v>
      </c>
      <c r="F4">
        <v>0</v>
      </c>
      <c r="G4">
        <v>9</v>
      </c>
      <c r="H4">
        <v>218</v>
      </c>
      <c r="I4" t="s">
        <v>59</v>
      </c>
      <c r="J4" t="s">
        <v>60</v>
      </c>
      <c r="K4" s="11">
        <v>6.2</v>
      </c>
      <c r="L4" s="3" t="s">
        <v>63</v>
      </c>
      <c r="N4" t="s">
        <v>101</v>
      </c>
      <c r="O4" t="s">
        <v>101</v>
      </c>
      <c r="P4" t="s">
        <v>35</v>
      </c>
      <c r="Q4" t="s">
        <v>36</v>
      </c>
      <c r="R4" s="11">
        <v>6.0752908970000004</v>
      </c>
      <c r="S4">
        <v>0</v>
      </c>
      <c r="T4">
        <v>0</v>
      </c>
      <c r="V4" t="s">
        <v>34</v>
      </c>
      <c r="W4" t="s">
        <v>60</v>
      </c>
      <c r="X4" s="11">
        <v>6.1</v>
      </c>
      <c r="Y4" s="8" t="s">
        <v>39</v>
      </c>
      <c r="AA4">
        <f t="shared" si="0"/>
        <v>0.10000000000000053</v>
      </c>
      <c r="AB4">
        <f t="shared" si="1"/>
        <v>0.10000000000000053</v>
      </c>
    </row>
    <row r="5" spans="1:28" x14ac:dyDescent="0.35">
      <c r="A5" t="s">
        <v>58</v>
      </c>
      <c r="B5" t="s">
        <v>58</v>
      </c>
      <c r="C5" t="s">
        <v>35</v>
      </c>
      <c r="D5" t="s">
        <v>36</v>
      </c>
      <c r="E5" s="11">
        <v>6.4229979469999998</v>
      </c>
      <c r="F5">
        <v>0</v>
      </c>
      <c r="G5">
        <v>14</v>
      </c>
      <c r="H5">
        <v>53</v>
      </c>
      <c r="I5" t="s">
        <v>59</v>
      </c>
      <c r="J5" t="s">
        <v>60</v>
      </c>
      <c r="K5" s="11">
        <v>6.4</v>
      </c>
      <c r="L5" s="3" t="s">
        <v>63</v>
      </c>
      <c r="N5" t="s">
        <v>103</v>
      </c>
      <c r="O5" t="s">
        <v>103</v>
      </c>
      <c r="P5" t="s">
        <v>35</v>
      </c>
      <c r="Q5" t="s">
        <v>36</v>
      </c>
      <c r="R5" s="11">
        <v>6.5681040380000004</v>
      </c>
      <c r="S5">
        <v>0</v>
      </c>
      <c r="T5">
        <v>0</v>
      </c>
      <c r="V5" t="s">
        <v>34</v>
      </c>
      <c r="W5" t="s">
        <v>60</v>
      </c>
      <c r="X5" s="11">
        <v>6.6</v>
      </c>
      <c r="Y5" s="8" t="s">
        <v>39</v>
      </c>
      <c r="AA5">
        <f t="shared" si="0"/>
        <v>-0.19999999999999929</v>
      </c>
      <c r="AB5">
        <f t="shared" si="1"/>
        <v>0.19999999999999929</v>
      </c>
    </row>
    <row r="6" spans="1:28" x14ac:dyDescent="0.35">
      <c r="A6" t="s">
        <v>81</v>
      </c>
      <c r="B6" t="s">
        <v>81</v>
      </c>
      <c r="C6" t="s">
        <v>35</v>
      </c>
      <c r="D6" t="s">
        <v>36</v>
      </c>
      <c r="E6" s="11">
        <v>6.4147843939999998</v>
      </c>
      <c r="F6">
        <v>20</v>
      </c>
      <c r="G6">
        <v>21</v>
      </c>
      <c r="H6">
        <v>188</v>
      </c>
      <c r="I6" t="s">
        <v>59</v>
      </c>
      <c r="J6" t="s">
        <v>60</v>
      </c>
      <c r="K6" s="11">
        <v>6.4</v>
      </c>
      <c r="L6" s="3" t="s">
        <v>63</v>
      </c>
      <c r="N6" t="s">
        <v>105</v>
      </c>
      <c r="O6" t="s">
        <v>105</v>
      </c>
      <c r="P6" t="s">
        <v>35</v>
      </c>
      <c r="Q6" t="s">
        <v>36</v>
      </c>
      <c r="R6" s="11">
        <v>6.6748802190000003</v>
      </c>
      <c r="S6">
        <v>0</v>
      </c>
      <c r="T6">
        <v>0</v>
      </c>
      <c r="V6" t="s">
        <v>34</v>
      </c>
      <c r="W6" t="s">
        <v>60</v>
      </c>
      <c r="X6" s="11">
        <v>6.7</v>
      </c>
      <c r="Y6" s="8" t="s">
        <v>39</v>
      </c>
      <c r="AA6">
        <f t="shared" si="0"/>
        <v>-0.29999999999999982</v>
      </c>
      <c r="AB6">
        <f t="shared" si="1"/>
        <v>0.29999999999999982</v>
      </c>
    </row>
    <row r="7" spans="1:28" x14ac:dyDescent="0.35">
      <c r="A7" t="s">
        <v>118</v>
      </c>
      <c r="B7" t="s">
        <v>118</v>
      </c>
      <c r="C7" t="s">
        <v>35</v>
      </c>
      <c r="D7" t="s">
        <v>36</v>
      </c>
      <c r="E7" s="11">
        <v>6.3928815879999998</v>
      </c>
      <c r="F7">
        <v>0</v>
      </c>
      <c r="G7">
        <v>16</v>
      </c>
      <c r="H7">
        <v>33</v>
      </c>
      <c r="I7" t="s">
        <v>59</v>
      </c>
      <c r="J7" t="s">
        <v>60</v>
      </c>
      <c r="K7" s="11">
        <v>6.4</v>
      </c>
      <c r="L7" s="3" t="s">
        <v>63</v>
      </c>
      <c r="N7" t="s">
        <v>134</v>
      </c>
      <c r="O7" t="s">
        <v>134</v>
      </c>
      <c r="P7" t="s">
        <v>35</v>
      </c>
      <c r="Q7" t="s">
        <v>36</v>
      </c>
      <c r="R7" s="11">
        <v>6.7515400410000002</v>
      </c>
      <c r="S7">
        <v>0</v>
      </c>
      <c r="T7">
        <v>0</v>
      </c>
      <c r="V7" t="s">
        <v>34</v>
      </c>
      <c r="W7" t="s">
        <v>60</v>
      </c>
      <c r="X7" s="11">
        <v>6.8</v>
      </c>
      <c r="Y7" s="8" t="s">
        <v>39</v>
      </c>
      <c r="AA7">
        <f t="shared" si="0"/>
        <v>-0.39999999999999947</v>
      </c>
      <c r="AB7">
        <f t="shared" si="1"/>
        <v>0.39999999999999947</v>
      </c>
    </row>
    <row r="8" spans="1:28" x14ac:dyDescent="0.35">
      <c r="A8" t="s">
        <v>95</v>
      </c>
      <c r="B8" t="s">
        <v>95</v>
      </c>
      <c r="C8" t="s">
        <v>35</v>
      </c>
      <c r="D8" t="s">
        <v>36</v>
      </c>
      <c r="E8" s="11">
        <v>6.6447638600000003</v>
      </c>
      <c r="F8">
        <v>10</v>
      </c>
      <c r="G8">
        <v>21</v>
      </c>
      <c r="H8">
        <v>144</v>
      </c>
      <c r="I8" t="s">
        <v>59</v>
      </c>
      <c r="J8" t="s">
        <v>60</v>
      </c>
      <c r="K8" s="11">
        <v>6.6</v>
      </c>
      <c r="L8" s="3" t="s">
        <v>63</v>
      </c>
      <c r="N8" t="s">
        <v>102</v>
      </c>
      <c r="O8" t="s">
        <v>102</v>
      </c>
      <c r="P8" t="s">
        <v>35</v>
      </c>
      <c r="Q8" t="s">
        <v>36</v>
      </c>
      <c r="R8" s="11">
        <v>6.9979466119999998</v>
      </c>
      <c r="S8">
        <v>0</v>
      </c>
      <c r="T8">
        <v>0</v>
      </c>
      <c r="V8" t="s">
        <v>34</v>
      </c>
      <c r="W8" t="s">
        <v>60</v>
      </c>
      <c r="X8" s="11">
        <v>7</v>
      </c>
      <c r="Y8" s="8" t="s">
        <v>39</v>
      </c>
      <c r="AA8">
        <f t="shared" si="0"/>
        <v>-0.40000000000000036</v>
      </c>
      <c r="AB8">
        <f t="shared" si="1"/>
        <v>0.40000000000000036</v>
      </c>
    </row>
    <row r="9" spans="1:28" x14ac:dyDescent="0.35">
      <c r="A9" t="s">
        <v>122</v>
      </c>
      <c r="B9" t="s">
        <v>122</v>
      </c>
      <c r="C9" t="s">
        <v>35</v>
      </c>
      <c r="D9" t="s">
        <v>36</v>
      </c>
      <c r="E9" s="11">
        <v>6.858316222</v>
      </c>
      <c r="F9">
        <v>0</v>
      </c>
      <c r="G9">
        <v>12</v>
      </c>
      <c r="H9">
        <v>360</v>
      </c>
      <c r="I9" t="s">
        <v>59</v>
      </c>
      <c r="J9" t="s">
        <v>60</v>
      </c>
      <c r="K9" s="11">
        <v>6.9</v>
      </c>
      <c r="L9" s="3" t="s">
        <v>63</v>
      </c>
      <c r="N9" t="s">
        <v>93</v>
      </c>
      <c r="O9" t="s">
        <v>93</v>
      </c>
      <c r="P9" t="s">
        <v>35</v>
      </c>
      <c r="Q9" t="s">
        <v>36</v>
      </c>
      <c r="R9" s="11">
        <v>7.0965092399999996</v>
      </c>
      <c r="S9">
        <v>0</v>
      </c>
      <c r="V9" t="s">
        <v>34</v>
      </c>
      <c r="W9" t="s">
        <v>60</v>
      </c>
      <c r="X9" s="11">
        <v>7.1</v>
      </c>
      <c r="Y9" s="8" t="s">
        <v>39</v>
      </c>
      <c r="AA9">
        <f t="shared" si="0"/>
        <v>-0.19999999999999929</v>
      </c>
      <c r="AB9">
        <f t="shared" si="1"/>
        <v>0.19999999999999929</v>
      </c>
    </row>
    <row r="10" spans="1:28" x14ac:dyDescent="0.35">
      <c r="A10" t="s">
        <v>69</v>
      </c>
      <c r="B10" t="s">
        <v>69</v>
      </c>
      <c r="C10" t="s">
        <v>35</v>
      </c>
      <c r="D10" t="s">
        <v>70</v>
      </c>
      <c r="E10" s="11">
        <v>7.2553045860000003</v>
      </c>
      <c r="F10">
        <v>0</v>
      </c>
      <c r="G10">
        <v>11</v>
      </c>
      <c r="H10">
        <v>159</v>
      </c>
      <c r="I10" t="s">
        <v>59</v>
      </c>
      <c r="J10" t="s">
        <v>60</v>
      </c>
      <c r="K10" s="11">
        <v>7.3</v>
      </c>
      <c r="L10" s="3" t="s">
        <v>63</v>
      </c>
      <c r="N10" t="s">
        <v>164</v>
      </c>
      <c r="O10" t="s">
        <v>164</v>
      </c>
      <c r="P10" t="s">
        <v>35</v>
      </c>
      <c r="Q10" t="s">
        <v>121</v>
      </c>
      <c r="R10" s="11">
        <v>7.1184120469999996</v>
      </c>
      <c r="S10">
        <v>0</v>
      </c>
      <c r="T10">
        <v>0</v>
      </c>
      <c r="V10" t="s">
        <v>34</v>
      </c>
      <c r="W10" t="s">
        <v>60</v>
      </c>
      <c r="X10" s="11">
        <v>7.1</v>
      </c>
      <c r="Y10" s="8" t="s">
        <v>39</v>
      </c>
      <c r="AA10">
        <f>IF(ISBLANK(K10),"",K10-X10)</f>
        <v>0.20000000000000018</v>
      </c>
      <c r="AB10">
        <f t="shared" si="1"/>
        <v>0.20000000000000018</v>
      </c>
    </row>
    <row r="11" spans="1:28" x14ac:dyDescent="0.35">
      <c r="A11" t="s">
        <v>141</v>
      </c>
      <c r="B11" t="s">
        <v>141</v>
      </c>
      <c r="C11" t="s">
        <v>35</v>
      </c>
      <c r="D11" t="s">
        <v>36</v>
      </c>
      <c r="E11" s="11">
        <v>7.6057494869999998</v>
      </c>
      <c r="F11">
        <v>0</v>
      </c>
      <c r="G11">
        <v>12</v>
      </c>
      <c r="H11">
        <v>107</v>
      </c>
      <c r="I11" t="s">
        <v>59</v>
      </c>
      <c r="J11" t="s">
        <v>60</v>
      </c>
      <c r="K11" s="11">
        <v>7.6</v>
      </c>
      <c r="L11" s="3" t="s">
        <v>63</v>
      </c>
      <c r="N11" t="s">
        <v>107</v>
      </c>
      <c r="O11" t="s">
        <v>107</v>
      </c>
      <c r="P11" t="s">
        <v>35</v>
      </c>
      <c r="Q11" t="s">
        <v>36</v>
      </c>
      <c r="R11" s="11">
        <v>7.6495550989999996</v>
      </c>
      <c r="V11" t="s">
        <v>34</v>
      </c>
      <c r="W11" t="s">
        <v>60</v>
      </c>
      <c r="X11" s="11">
        <v>7.6</v>
      </c>
      <c r="Y11" s="8" t="s">
        <v>39</v>
      </c>
      <c r="AA11">
        <f t="shared" si="0"/>
        <v>0</v>
      </c>
      <c r="AB11">
        <f t="shared" si="1"/>
        <v>0</v>
      </c>
    </row>
    <row r="12" spans="1:28" x14ac:dyDescent="0.35">
      <c r="A12" t="s">
        <v>126</v>
      </c>
      <c r="B12" t="s">
        <v>126</v>
      </c>
      <c r="C12" t="s">
        <v>35</v>
      </c>
      <c r="D12" t="s">
        <v>36</v>
      </c>
      <c r="E12" s="11">
        <v>8.0739219710000008</v>
      </c>
      <c r="F12">
        <v>0</v>
      </c>
      <c r="G12">
        <v>12</v>
      </c>
      <c r="H12">
        <v>144</v>
      </c>
      <c r="I12" t="s">
        <v>59</v>
      </c>
      <c r="J12" t="s">
        <v>60</v>
      </c>
      <c r="K12" s="11">
        <v>8.1</v>
      </c>
      <c r="L12" s="3" t="s">
        <v>63</v>
      </c>
      <c r="N12" t="s">
        <v>177</v>
      </c>
      <c r="O12" t="s">
        <v>177</v>
      </c>
      <c r="P12" t="s">
        <v>35</v>
      </c>
      <c r="Q12" t="s">
        <v>36</v>
      </c>
      <c r="R12" s="11">
        <v>8.2217659140000006</v>
      </c>
      <c r="S12">
        <v>0</v>
      </c>
      <c r="T12">
        <v>0</v>
      </c>
      <c r="V12" t="s">
        <v>34</v>
      </c>
      <c r="W12" t="s">
        <v>60</v>
      </c>
      <c r="X12" s="11">
        <v>8.1999999999999993</v>
      </c>
      <c r="Y12" s="8" t="s">
        <v>39</v>
      </c>
      <c r="AA12">
        <f t="shared" si="0"/>
        <v>-9.9999999999999645E-2</v>
      </c>
      <c r="AB12">
        <f t="shared" si="1"/>
        <v>9.9999999999999645E-2</v>
      </c>
    </row>
    <row r="13" spans="1:28" x14ac:dyDescent="0.35">
      <c r="A13" t="s">
        <v>150</v>
      </c>
      <c r="B13" t="s">
        <v>150</v>
      </c>
      <c r="C13" t="s">
        <v>35</v>
      </c>
      <c r="D13" t="s">
        <v>36</v>
      </c>
      <c r="E13" s="11">
        <v>8.2655715260000004</v>
      </c>
      <c r="F13">
        <v>10</v>
      </c>
      <c r="G13">
        <v>17</v>
      </c>
      <c r="H13">
        <v>121</v>
      </c>
      <c r="I13" t="s">
        <v>59</v>
      </c>
      <c r="J13" t="s">
        <v>60</v>
      </c>
      <c r="K13" s="11">
        <v>8.3000000000000007</v>
      </c>
      <c r="L13" s="3" t="s">
        <v>63</v>
      </c>
      <c r="N13" t="s">
        <v>140</v>
      </c>
      <c r="O13" t="s">
        <v>140</v>
      </c>
      <c r="P13" t="s">
        <v>35</v>
      </c>
      <c r="Q13" t="s">
        <v>36</v>
      </c>
      <c r="R13" s="11">
        <v>8.3422313480000003</v>
      </c>
      <c r="S13">
        <v>0</v>
      </c>
      <c r="T13">
        <v>0</v>
      </c>
      <c r="V13" t="s">
        <v>34</v>
      </c>
      <c r="W13" t="s">
        <v>60</v>
      </c>
      <c r="X13" s="11">
        <v>8.3000000000000007</v>
      </c>
      <c r="Y13" s="8" t="s">
        <v>39</v>
      </c>
      <c r="AA13">
        <f t="shared" si="0"/>
        <v>0</v>
      </c>
      <c r="AB13">
        <f t="shared" si="1"/>
        <v>0</v>
      </c>
    </row>
    <row r="14" spans="1:28" x14ac:dyDescent="0.35">
      <c r="A14" t="s">
        <v>76</v>
      </c>
      <c r="B14" t="s">
        <v>76</v>
      </c>
      <c r="C14" t="s">
        <v>35</v>
      </c>
      <c r="D14" t="s">
        <v>36</v>
      </c>
      <c r="E14" s="11">
        <v>8.6406570840000008</v>
      </c>
      <c r="F14">
        <v>5</v>
      </c>
      <c r="G14">
        <v>24</v>
      </c>
      <c r="H14">
        <v>95</v>
      </c>
      <c r="I14" t="s">
        <v>59</v>
      </c>
      <c r="J14" t="s">
        <v>60</v>
      </c>
      <c r="K14" s="11">
        <v>8.6</v>
      </c>
      <c r="L14" s="3" t="s">
        <v>63</v>
      </c>
      <c r="N14" t="s">
        <v>182</v>
      </c>
      <c r="O14" t="s">
        <v>182</v>
      </c>
      <c r="P14" t="s">
        <v>35</v>
      </c>
      <c r="Q14" t="s">
        <v>36</v>
      </c>
      <c r="R14" s="11">
        <v>8.7419575629999997</v>
      </c>
      <c r="S14">
        <v>0</v>
      </c>
      <c r="T14">
        <v>0</v>
      </c>
      <c r="V14" t="s">
        <v>34</v>
      </c>
      <c r="W14" t="s">
        <v>60</v>
      </c>
      <c r="X14" s="11">
        <v>8.6999999999999993</v>
      </c>
      <c r="Y14" s="8" t="s">
        <v>39</v>
      </c>
      <c r="AA14">
        <f t="shared" si="0"/>
        <v>-9.9999999999999645E-2</v>
      </c>
      <c r="AB14">
        <f t="shared" si="1"/>
        <v>9.9999999999999645E-2</v>
      </c>
    </row>
    <row r="15" spans="1:28" x14ac:dyDescent="0.35">
      <c r="A15" t="s">
        <v>100</v>
      </c>
      <c r="B15" t="s">
        <v>100</v>
      </c>
      <c r="C15" t="s">
        <v>35</v>
      </c>
      <c r="D15" t="s">
        <v>36</v>
      </c>
      <c r="E15" s="11">
        <v>8.7556468170000006</v>
      </c>
      <c r="F15">
        <v>0</v>
      </c>
      <c r="G15">
        <v>13</v>
      </c>
      <c r="H15">
        <v>82</v>
      </c>
      <c r="I15" t="s">
        <v>59</v>
      </c>
      <c r="J15" t="s">
        <v>60</v>
      </c>
      <c r="K15" s="11">
        <v>8.8000000000000007</v>
      </c>
      <c r="L15" s="3" t="s">
        <v>63</v>
      </c>
      <c r="N15" t="s">
        <v>136</v>
      </c>
      <c r="O15" t="s">
        <v>136</v>
      </c>
      <c r="P15" t="s">
        <v>35</v>
      </c>
      <c r="Q15" t="s">
        <v>36</v>
      </c>
      <c r="R15" s="11">
        <v>8.8870636550000004</v>
      </c>
      <c r="S15">
        <v>0</v>
      </c>
      <c r="T15">
        <v>0</v>
      </c>
      <c r="V15" t="s">
        <v>34</v>
      </c>
      <c r="W15" t="s">
        <v>60</v>
      </c>
      <c r="X15" s="11">
        <v>8.9</v>
      </c>
      <c r="Y15" s="8" t="s">
        <v>39</v>
      </c>
      <c r="AA15">
        <f t="shared" si="0"/>
        <v>-9.9999999999999645E-2</v>
      </c>
      <c r="AB15">
        <f t="shared" si="1"/>
        <v>9.9999999999999645E-2</v>
      </c>
    </row>
    <row r="16" spans="1:28" x14ac:dyDescent="0.35">
      <c r="A16" t="s">
        <v>158</v>
      </c>
      <c r="B16" t="s">
        <v>158</v>
      </c>
      <c r="C16" t="s">
        <v>35</v>
      </c>
      <c r="D16" t="s">
        <v>36</v>
      </c>
      <c r="E16" s="11">
        <v>8.9363449690000003</v>
      </c>
      <c r="F16">
        <v>0</v>
      </c>
      <c r="G16">
        <v>23</v>
      </c>
      <c r="H16">
        <v>297</v>
      </c>
      <c r="I16" t="s">
        <v>59</v>
      </c>
      <c r="J16" t="s">
        <v>60</v>
      </c>
      <c r="K16" s="11">
        <v>8.9</v>
      </c>
      <c r="L16" s="3" t="s">
        <v>63</v>
      </c>
      <c r="N16" t="s">
        <v>104</v>
      </c>
      <c r="O16" t="s">
        <v>104</v>
      </c>
      <c r="P16" t="s">
        <v>35</v>
      </c>
      <c r="Q16" t="s">
        <v>36</v>
      </c>
      <c r="R16" s="11">
        <v>9.0294318960000002</v>
      </c>
      <c r="S16">
        <v>0</v>
      </c>
      <c r="T16">
        <v>0</v>
      </c>
      <c r="V16" t="s">
        <v>34</v>
      </c>
      <c r="W16" t="s">
        <v>60</v>
      </c>
      <c r="X16" s="11">
        <v>9</v>
      </c>
      <c r="Y16" s="8" t="s">
        <v>39</v>
      </c>
      <c r="AA16">
        <f t="shared" si="0"/>
        <v>-9.9999999999999645E-2</v>
      </c>
      <c r="AB16">
        <f t="shared" si="1"/>
        <v>9.9999999999999645E-2</v>
      </c>
    </row>
    <row r="17" spans="1:28" x14ac:dyDescent="0.35">
      <c r="A17" t="s">
        <v>149</v>
      </c>
      <c r="B17" t="s">
        <v>149</v>
      </c>
      <c r="C17" t="s">
        <v>35</v>
      </c>
      <c r="D17" t="s">
        <v>36</v>
      </c>
      <c r="E17" s="11">
        <v>9.1060917180000001</v>
      </c>
      <c r="F17">
        <v>0</v>
      </c>
      <c r="G17">
        <v>14</v>
      </c>
      <c r="H17">
        <v>271</v>
      </c>
      <c r="I17" t="s">
        <v>59</v>
      </c>
      <c r="J17" t="s">
        <v>60</v>
      </c>
      <c r="K17" s="11">
        <v>9.1</v>
      </c>
      <c r="L17" s="3" t="s">
        <v>63</v>
      </c>
      <c r="N17" t="s">
        <v>33</v>
      </c>
      <c r="O17" t="s">
        <v>33</v>
      </c>
      <c r="P17" t="s">
        <v>35</v>
      </c>
      <c r="Q17" t="s">
        <v>36</v>
      </c>
      <c r="R17" s="11">
        <v>9.1999999999999993</v>
      </c>
      <c r="V17" t="s">
        <v>34</v>
      </c>
      <c r="W17" t="s">
        <v>37</v>
      </c>
      <c r="X17" s="11">
        <v>9.1999999999999993</v>
      </c>
      <c r="Y17" s="8" t="s">
        <v>39</v>
      </c>
      <c r="AA17">
        <f t="shared" si="0"/>
        <v>-9.9999999999999645E-2</v>
      </c>
      <c r="AB17">
        <f t="shared" si="1"/>
        <v>9.9999999999999645E-2</v>
      </c>
    </row>
    <row r="18" spans="1:28" x14ac:dyDescent="0.35">
      <c r="A18" t="s">
        <v>116</v>
      </c>
      <c r="B18" t="s">
        <v>116</v>
      </c>
      <c r="C18" t="s">
        <v>35</v>
      </c>
      <c r="D18" t="s">
        <v>36</v>
      </c>
      <c r="E18" s="11">
        <v>9.1937029429999999</v>
      </c>
      <c r="F18">
        <v>10</v>
      </c>
      <c r="G18">
        <v>17</v>
      </c>
      <c r="H18">
        <v>245</v>
      </c>
      <c r="I18" t="s">
        <v>59</v>
      </c>
      <c r="J18" t="s">
        <v>60</v>
      </c>
      <c r="K18" s="11">
        <v>9.1999999999999993</v>
      </c>
      <c r="L18" s="3" t="s">
        <v>63</v>
      </c>
      <c r="N18" t="s">
        <v>51</v>
      </c>
      <c r="O18" t="s">
        <v>51</v>
      </c>
      <c r="P18" t="s">
        <v>35</v>
      </c>
      <c r="Q18" t="s">
        <v>36</v>
      </c>
      <c r="R18" s="11">
        <v>9.1999999999999993</v>
      </c>
      <c r="V18" t="s">
        <v>34</v>
      </c>
      <c r="W18" t="s">
        <v>47</v>
      </c>
      <c r="X18" s="11">
        <v>9.1999999999999993</v>
      </c>
      <c r="Y18" s="8" t="s">
        <v>39</v>
      </c>
      <c r="AA18">
        <f t="shared" si="0"/>
        <v>0</v>
      </c>
      <c r="AB18">
        <f t="shared" si="1"/>
        <v>0</v>
      </c>
    </row>
    <row r="19" spans="1:28" x14ac:dyDescent="0.35">
      <c r="A19" t="s">
        <v>77</v>
      </c>
      <c r="B19" t="s">
        <v>77</v>
      </c>
      <c r="C19" t="s">
        <v>35</v>
      </c>
      <c r="D19" t="s">
        <v>70</v>
      </c>
      <c r="E19" s="11">
        <v>9.722108145</v>
      </c>
      <c r="F19">
        <v>20</v>
      </c>
      <c r="G19">
        <v>18</v>
      </c>
      <c r="H19">
        <v>112</v>
      </c>
      <c r="I19" t="s">
        <v>59</v>
      </c>
      <c r="J19" t="s">
        <v>60</v>
      </c>
      <c r="K19" s="11">
        <v>9.6999999999999993</v>
      </c>
      <c r="L19" s="3" t="s">
        <v>63</v>
      </c>
      <c r="N19" t="s">
        <v>97</v>
      </c>
      <c r="O19" t="s">
        <v>97</v>
      </c>
      <c r="P19" t="s">
        <v>35</v>
      </c>
      <c r="Q19" t="s">
        <v>70</v>
      </c>
      <c r="R19" s="11">
        <v>9.1854893910000008</v>
      </c>
      <c r="S19">
        <v>0</v>
      </c>
      <c r="T19">
        <v>0</v>
      </c>
      <c r="V19" t="s">
        <v>34</v>
      </c>
      <c r="W19" t="s">
        <v>60</v>
      </c>
      <c r="X19" s="11">
        <v>9.1999999999999993</v>
      </c>
      <c r="Y19" s="8" t="s">
        <v>39</v>
      </c>
      <c r="AA19">
        <f t="shared" si="0"/>
        <v>0.5</v>
      </c>
      <c r="AB19">
        <f t="shared" si="1"/>
        <v>0.5</v>
      </c>
    </row>
    <row r="20" spans="1:28" x14ac:dyDescent="0.35">
      <c r="A20" t="s">
        <v>149</v>
      </c>
      <c r="B20" t="s">
        <v>149</v>
      </c>
      <c r="C20" t="s">
        <v>35</v>
      </c>
      <c r="D20" t="s">
        <v>36</v>
      </c>
      <c r="E20" s="11">
        <v>9.1060917180000001</v>
      </c>
      <c r="F20">
        <v>0</v>
      </c>
      <c r="G20">
        <v>14</v>
      </c>
      <c r="H20">
        <v>271</v>
      </c>
      <c r="I20" t="s">
        <v>59</v>
      </c>
      <c r="J20" t="s">
        <v>60</v>
      </c>
      <c r="K20" s="11">
        <v>9.1</v>
      </c>
      <c r="L20" s="3" t="s">
        <v>63</v>
      </c>
      <c r="N20" t="s">
        <v>112</v>
      </c>
      <c r="O20" t="s">
        <v>112</v>
      </c>
      <c r="P20" t="s">
        <v>35</v>
      </c>
      <c r="Q20" t="s">
        <v>36</v>
      </c>
      <c r="R20" s="11">
        <v>9.3716632440000005</v>
      </c>
      <c r="S20">
        <v>0</v>
      </c>
      <c r="T20">
        <v>0</v>
      </c>
      <c r="V20" t="s">
        <v>34</v>
      </c>
      <c r="W20" t="s">
        <v>60</v>
      </c>
      <c r="X20" s="11">
        <v>9.4</v>
      </c>
      <c r="Y20" s="8" t="s">
        <v>39</v>
      </c>
      <c r="AA20">
        <f t="shared" si="0"/>
        <v>-0.30000000000000071</v>
      </c>
      <c r="AB20">
        <f t="shared" si="1"/>
        <v>0.30000000000000071</v>
      </c>
    </row>
    <row r="21" spans="1:28" x14ac:dyDescent="0.35">
      <c r="A21" t="s">
        <v>116</v>
      </c>
      <c r="B21" t="s">
        <v>116</v>
      </c>
      <c r="C21" t="s">
        <v>35</v>
      </c>
      <c r="D21" t="s">
        <v>36</v>
      </c>
      <c r="E21" s="11">
        <v>9.1937029429999999</v>
      </c>
      <c r="F21">
        <v>10</v>
      </c>
      <c r="G21">
        <v>17</v>
      </c>
      <c r="H21">
        <v>245</v>
      </c>
      <c r="I21" t="s">
        <v>59</v>
      </c>
      <c r="J21" t="s">
        <v>60</v>
      </c>
      <c r="K21" s="11">
        <v>9.1999999999999993</v>
      </c>
      <c r="L21" s="3" t="s">
        <v>63</v>
      </c>
      <c r="N21" t="s">
        <v>49</v>
      </c>
      <c r="O21" t="s">
        <v>49</v>
      </c>
      <c r="P21" t="s">
        <v>35</v>
      </c>
      <c r="Q21" t="s">
        <v>36</v>
      </c>
      <c r="R21" s="11">
        <v>9.9</v>
      </c>
      <c r="V21" t="s">
        <v>34</v>
      </c>
      <c r="W21" t="s">
        <v>47</v>
      </c>
      <c r="X21" s="11">
        <v>9.9</v>
      </c>
      <c r="Y21" s="8" t="s">
        <v>39</v>
      </c>
      <c r="AA21">
        <f t="shared" si="0"/>
        <v>-0.70000000000000107</v>
      </c>
      <c r="AB21">
        <f t="shared" si="1"/>
        <v>0.70000000000000107</v>
      </c>
    </row>
    <row r="22" spans="1:28" x14ac:dyDescent="0.35">
      <c r="A22" t="s">
        <v>148</v>
      </c>
      <c r="B22" t="s">
        <v>148</v>
      </c>
      <c r="C22" t="s">
        <v>35</v>
      </c>
      <c r="D22" t="s">
        <v>36</v>
      </c>
      <c r="E22" s="11">
        <v>9.9958932239999996</v>
      </c>
      <c r="F22">
        <v>20</v>
      </c>
      <c r="G22">
        <v>25</v>
      </c>
      <c r="H22">
        <v>129</v>
      </c>
      <c r="I22" t="s">
        <v>59</v>
      </c>
      <c r="J22" t="s">
        <v>60</v>
      </c>
      <c r="K22" s="11">
        <v>10</v>
      </c>
      <c r="L22" s="3" t="s">
        <v>63</v>
      </c>
      <c r="N22" t="s">
        <v>119</v>
      </c>
      <c r="O22" t="s">
        <v>119</v>
      </c>
      <c r="P22" t="s">
        <v>35</v>
      </c>
      <c r="Q22" t="s">
        <v>36</v>
      </c>
      <c r="R22" s="11">
        <v>10.04517454</v>
      </c>
      <c r="S22">
        <v>0</v>
      </c>
      <c r="T22">
        <v>0</v>
      </c>
      <c r="V22" t="s">
        <v>34</v>
      </c>
      <c r="W22" t="s">
        <v>60</v>
      </c>
      <c r="X22" s="11">
        <v>10</v>
      </c>
      <c r="Y22" s="8" t="s">
        <v>39</v>
      </c>
      <c r="AA22">
        <f t="shared" si="0"/>
        <v>0</v>
      </c>
      <c r="AB22">
        <f t="shared" si="1"/>
        <v>0</v>
      </c>
    </row>
    <row r="23" spans="1:28" x14ac:dyDescent="0.35">
      <c r="A23" t="s">
        <v>67</v>
      </c>
      <c r="B23" t="s">
        <v>67</v>
      </c>
      <c r="C23" t="s">
        <v>35</v>
      </c>
      <c r="D23" t="s">
        <v>36</v>
      </c>
      <c r="E23" s="11">
        <v>10.31622177</v>
      </c>
      <c r="F23">
        <v>0</v>
      </c>
      <c r="G23">
        <v>10</v>
      </c>
      <c r="H23">
        <v>95</v>
      </c>
      <c r="I23" t="s">
        <v>59</v>
      </c>
      <c r="J23" t="s">
        <v>60</v>
      </c>
      <c r="K23" s="11">
        <v>10.3</v>
      </c>
      <c r="L23" s="3" t="s">
        <v>63</v>
      </c>
      <c r="N23" t="s">
        <v>50</v>
      </c>
      <c r="O23" t="s">
        <v>50</v>
      </c>
      <c r="P23" t="s">
        <v>35</v>
      </c>
      <c r="Q23" t="s">
        <v>36</v>
      </c>
      <c r="R23" s="11">
        <v>10.1</v>
      </c>
      <c r="V23" t="s">
        <v>34</v>
      </c>
      <c r="W23" t="s">
        <v>47</v>
      </c>
      <c r="X23" s="11">
        <v>10.1</v>
      </c>
      <c r="Y23" s="8" t="s">
        <v>39</v>
      </c>
      <c r="AA23">
        <f t="shared" si="0"/>
        <v>0.20000000000000107</v>
      </c>
      <c r="AB23">
        <f t="shared" si="1"/>
        <v>0.20000000000000107</v>
      </c>
    </row>
    <row r="24" spans="1:28" x14ac:dyDescent="0.35">
      <c r="A24" t="s">
        <v>171</v>
      </c>
      <c r="B24" t="s">
        <v>171</v>
      </c>
      <c r="C24" t="s">
        <v>35</v>
      </c>
      <c r="D24" t="s">
        <v>36</v>
      </c>
      <c r="E24" s="11">
        <v>10.32169747</v>
      </c>
      <c r="F24">
        <v>0</v>
      </c>
      <c r="G24">
        <v>12</v>
      </c>
      <c r="H24">
        <v>112</v>
      </c>
      <c r="I24" t="s">
        <v>59</v>
      </c>
      <c r="J24" t="s">
        <v>60</v>
      </c>
      <c r="K24" s="11">
        <v>10.3</v>
      </c>
      <c r="L24" s="3" t="s">
        <v>63</v>
      </c>
      <c r="N24" t="s">
        <v>48</v>
      </c>
      <c r="O24" t="s">
        <v>48</v>
      </c>
      <c r="P24" t="s">
        <v>35</v>
      </c>
      <c r="Q24" t="s">
        <v>36</v>
      </c>
      <c r="R24" s="11">
        <v>10.6</v>
      </c>
      <c r="V24" t="s">
        <v>34</v>
      </c>
      <c r="W24" t="s">
        <v>47</v>
      </c>
      <c r="X24" s="11">
        <v>10.6</v>
      </c>
      <c r="Y24" s="8" t="s">
        <v>39</v>
      </c>
      <c r="AA24">
        <f t="shared" si="0"/>
        <v>-0.29999999999999893</v>
      </c>
      <c r="AB24">
        <f t="shared" si="1"/>
        <v>0.29999999999999893</v>
      </c>
    </row>
    <row r="25" spans="1:28" x14ac:dyDescent="0.35">
      <c r="A25" t="s">
        <v>86</v>
      </c>
      <c r="B25" t="s">
        <v>86</v>
      </c>
      <c r="C25" t="s">
        <v>35</v>
      </c>
      <c r="D25" t="s">
        <v>36</v>
      </c>
      <c r="E25" s="11">
        <v>10.644763859999999</v>
      </c>
      <c r="F25">
        <v>20</v>
      </c>
      <c r="G25">
        <v>15</v>
      </c>
      <c r="H25">
        <v>253</v>
      </c>
      <c r="I25" t="s">
        <v>59</v>
      </c>
      <c r="J25" t="s">
        <v>60</v>
      </c>
      <c r="K25" s="11">
        <v>10.6</v>
      </c>
      <c r="L25" s="3" t="s">
        <v>63</v>
      </c>
      <c r="N25" t="s">
        <v>130</v>
      </c>
      <c r="O25" t="s">
        <v>130</v>
      </c>
      <c r="P25" t="s">
        <v>35</v>
      </c>
      <c r="Q25" t="s">
        <v>36</v>
      </c>
      <c r="R25" s="11">
        <v>10.72416153</v>
      </c>
      <c r="S25">
        <v>0</v>
      </c>
      <c r="T25">
        <v>0</v>
      </c>
      <c r="V25" t="s">
        <v>34</v>
      </c>
      <c r="W25" t="s">
        <v>60</v>
      </c>
      <c r="X25" s="11">
        <v>10.7</v>
      </c>
      <c r="Y25" s="8" t="s">
        <v>39</v>
      </c>
      <c r="AA25">
        <f t="shared" si="0"/>
        <v>-9.9999999999999645E-2</v>
      </c>
      <c r="AB25">
        <f t="shared" si="1"/>
        <v>9.9999999999999645E-2</v>
      </c>
    </row>
    <row r="26" spans="1:28" x14ac:dyDescent="0.35">
      <c r="A26" t="s">
        <v>65</v>
      </c>
      <c r="B26" t="s">
        <v>65</v>
      </c>
      <c r="C26" t="s">
        <v>35</v>
      </c>
      <c r="D26" t="s">
        <v>36</v>
      </c>
      <c r="E26" s="11">
        <v>10.650239559999999</v>
      </c>
      <c r="F26">
        <v>10</v>
      </c>
      <c r="G26">
        <v>13</v>
      </c>
      <c r="H26">
        <v>107</v>
      </c>
      <c r="I26" t="s">
        <v>59</v>
      </c>
      <c r="J26" t="s">
        <v>60</v>
      </c>
      <c r="K26" s="11">
        <v>10.7</v>
      </c>
      <c r="L26" s="3" t="s">
        <v>63</v>
      </c>
      <c r="N26" t="s">
        <v>146</v>
      </c>
      <c r="O26" t="s">
        <v>146</v>
      </c>
      <c r="P26" t="s">
        <v>35</v>
      </c>
      <c r="Q26" t="s">
        <v>36</v>
      </c>
      <c r="R26" s="11">
        <v>10.91581109</v>
      </c>
      <c r="S26">
        <v>0</v>
      </c>
      <c r="T26">
        <v>0</v>
      </c>
      <c r="V26" t="s">
        <v>34</v>
      </c>
      <c r="W26" t="s">
        <v>60</v>
      </c>
      <c r="X26" s="11">
        <v>10.9</v>
      </c>
      <c r="Y26" s="8" t="s">
        <v>39</v>
      </c>
      <c r="AA26">
        <f t="shared" si="0"/>
        <v>-0.20000000000000107</v>
      </c>
      <c r="AB26">
        <f t="shared" si="1"/>
        <v>0.20000000000000107</v>
      </c>
    </row>
    <row r="27" spans="1:28" x14ac:dyDescent="0.35">
      <c r="A27" t="s">
        <v>123</v>
      </c>
      <c r="B27" t="s">
        <v>123</v>
      </c>
      <c r="C27" t="s">
        <v>35</v>
      </c>
      <c r="D27" t="s">
        <v>36</v>
      </c>
      <c r="E27" s="6">
        <v>10.954141</v>
      </c>
      <c r="F27">
        <v>10</v>
      </c>
      <c r="G27">
        <v>7</v>
      </c>
      <c r="H27">
        <v>33</v>
      </c>
      <c r="I27" t="s">
        <v>59</v>
      </c>
      <c r="J27" t="s">
        <v>60</v>
      </c>
      <c r="K27" s="11">
        <v>11</v>
      </c>
      <c r="L27" s="3" t="s">
        <v>63</v>
      </c>
      <c r="N27" t="s">
        <v>181</v>
      </c>
      <c r="O27" t="s">
        <v>181</v>
      </c>
      <c r="P27" t="s">
        <v>35</v>
      </c>
      <c r="Q27" t="s">
        <v>36</v>
      </c>
      <c r="R27" s="6">
        <v>10.98151951</v>
      </c>
      <c r="S27">
        <v>0</v>
      </c>
      <c r="T27">
        <v>0</v>
      </c>
      <c r="V27" t="s">
        <v>34</v>
      </c>
      <c r="W27" t="s">
        <v>60</v>
      </c>
      <c r="X27" s="11">
        <v>11</v>
      </c>
      <c r="Y27" s="8" t="s">
        <v>39</v>
      </c>
      <c r="AA27">
        <f t="shared" si="0"/>
        <v>0</v>
      </c>
      <c r="AB27">
        <f t="shared" si="1"/>
        <v>0</v>
      </c>
    </row>
    <row r="28" spans="1:28" x14ac:dyDescent="0.35">
      <c r="A28" t="s">
        <v>78</v>
      </c>
      <c r="B28" t="s">
        <v>78</v>
      </c>
      <c r="C28" t="s">
        <v>53</v>
      </c>
      <c r="D28" t="s">
        <v>70</v>
      </c>
      <c r="E28" s="11">
        <v>5.6208076660000001</v>
      </c>
      <c r="F28">
        <v>5</v>
      </c>
      <c r="G28">
        <v>18</v>
      </c>
      <c r="H28">
        <v>47</v>
      </c>
      <c r="I28" t="s">
        <v>59</v>
      </c>
      <c r="J28" t="s">
        <v>60</v>
      </c>
      <c r="K28" s="11">
        <v>5.6</v>
      </c>
      <c r="L28" s="3" t="s">
        <v>63</v>
      </c>
      <c r="N28" t="s">
        <v>139</v>
      </c>
      <c r="O28" t="s">
        <v>139</v>
      </c>
      <c r="P28" t="s">
        <v>53</v>
      </c>
      <c r="Q28" t="s">
        <v>70</v>
      </c>
      <c r="R28" s="11">
        <v>6.0506502400000004</v>
      </c>
      <c r="S28">
        <v>0</v>
      </c>
      <c r="T28">
        <v>0</v>
      </c>
      <c r="V28" t="s">
        <v>34</v>
      </c>
      <c r="W28" t="s">
        <v>60</v>
      </c>
      <c r="X28" s="11">
        <v>6.1</v>
      </c>
      <c r="Y28" s="8" t="s">
        <v>39</v>
      </c>
      <c r="AA28">
        <f>K28-X28</f>
        <v>-0.5</v>
      </c>
      <c r="AB28">
        <f>ABS(AA28)</f>
        <v>0.5</v>
      </c>
    </row>
    <row r="29" spans="1:28" x14ac:dyDescent="0.35">
      <c r="A29" t="s">
        <v>74</v>
      </c>
      <c r="B29" t="s">
        <v>74</v>
      </c>
      <c r="C29" t="s">
        <v>53</v>
      </c>
      <c r="D29" t="s">
        <v>36</v>
      </c>
      <c r="E29" s="11">
        <v>6.2176591380000001</v>
      </c>
      <c r="F29">
        <v>0</v>
      </c>
      <c r="G29">
        <v>7</v>
      </c>
      <c r="H29">
        <v>111</v>
      </c>
      <c r="I29" t="s">
        <v>59</v>
      </c>
      <c r="J29" t="s">
        <v>60</v>
      </c>
      <c r="K29" s="11">
        <v>6.2</v>
      </c>
      <c r="L29" s="3" t="s">
        <v>63</v>
      </c>
      <c r="N29" t="s">
        <v>90</v>
      </c>
      <c r="O29" t="s">
        <v>90</v>
      </c>
      <c r="P29" t="s">
        <v>53</v>
      </c>
      <c r="Q29" t="s">
        <v>36</v>
      </c>
      <c r="R29" s="11">
        <v>6.1793292270000002</v>
      </c>
      <c r="S29">
        <v>0</v>
      </c>
      <c r="T29">
        <v>0</v>
      </c>
      <c r="V29" t="s">
        <v>34</v>
      </c>
      <c r="W29" t="s">
        <v>60</v>
      </c>
      <c r="X29" s="11">
        <v>6.2</v>
      </c>
      <c r="Y29" s="8" t="s">
        <v>39</v>
      </c>
      <c r="AA29">
        <f>K29-X29</f>
        <v>0</v>
      </c>
      <c r="AB29">
        <f t="shared" ref="AB29:AB36" si="2">ABS(AA29)</f>
        <v>0</v>
      </c>
    </row>
    <row r="30" spans="1:28" x14ac:dyDescent="0.35">
      <c r="A30" t="s">
        <v>110</v>
      </c>
      <c r="B30" t="s">
        <v>110</v>
      </c>
      <c r="C30" t="s">
        <v>53</v>
      </c>
      <c r="D30" t="s">
        <v>36</v>
      </c>
      <c r="E30" s="11">
        <v>8.8788501029999995</v>
      </c>
      <c r="F30">
        <v>5</v>
      </c>
      <c r="G30">
        <v>10</v>
      </c>
      <c r="H30">
        <v>174</v>
      </c>
      <c r="I30" t="s">
        <v>59</v>
      </c>
      <c r="J30" t="s">
        <v>60</v>
      </c>
      <c r="K30" s="11">
        <v>8.9</v>
      </c>
      <c r="L30" s="3" t="s">
        <v>63</v>
      </c>
      <c r="N30" t="s">
        <v>125</v>
      </c>
      <c r="O30" t="s">
        <v>125</v>
      </c>
      <c r="P30" t="s">
        <v>53</v>
      </c>
      <c r="Q30" t="s">
        <v>36</v>
      </c>
      <c r="R30" s="11">
        <v>8.2765229300000005</v>
      </c>
      <c r="S30">
        <v>0</v>
      </c>
      <c r="T30">
        <v>0</v>
      </c>
      <c r="V30" t="s">
        <v>34</v>
      </c>
      <c r="W30" t="s">
        <v>60</v>
      </c>
      <c r="X30" s="11">
        <v>8.3000000000000007</v>
      </c>
      <c r="Y30" s="8" t="s">
        <v>39</v>
      </c>
      <c r="AA30">
        <f>K30-X30</f>
        <v>0.59999999999999964</v>
      </c>
      <c r="AB30">
        <f t="shared" si="2"/>
        <v>0.59999999999999964</v>
      </c>
    </row>
    <row r="31" spans="1:28" x14ac:dyDescent="0.35">
      <c r="A31" t="s">
        <v>128</v>
      </c>
      <c r="B31" t="s">
        <v>128</v>
      </c>
      <c r="C31" t="s">
        <v>53</v>
      </c>
      <c r="D31" t="s">
        <v>36</v>
      </c>
      <c r="E31" s="11">
        <v>9.1362080769999992</v>
      </c>
      <c r="F31">
        <v>0</v>
      </c>
      <c r="G31">
        <v>24</v>
      </c>
      <c r="H31">
        <v>227</v>
      </c>
      <c r="I31" t="s">
        <v>59</v>
      </c>
      <c r="J31" t="s">
        <v>60</v>
      </c>
      <c r="K31" s="11">
        <v>9.1</v>
      </c>
      <c r="L31" s="3" t="s">
        <v>63</v>
      </c>
      <c r="N31" t="s">
        <v>132</v>
      </c>
      <c r="O31" t="s">
        <v>132</v>
      </c>
      <c r="P31" t="s">
        <v>53</v>
      </c>
      <c r="Q31" t="s">
        <v>36</v>
      </c>
      <c r="R31" s="11">
        <v>9.2128678990000008</v>
      </c>
      <c r="S31">
        <v>0</v>
      </c>
      <c r="T31">
        <v>0</v>
      </c>
      <c r="V31" t="s">
        <v>34</v>
      </c>
      <c r="W31" t="s">
        <v>60</v>
      </c>
      <c r="X31" s="11">
        <v>9.1999999999999993</v>
      </c>
      <c r="Y31" s="8" t="s">
        <v>39</v>
      </c>
      <c r="AA31">
        <f>K31-X31</f>
        <v>-9.9999999999999645E-2</v>
      </c>
      <c r="AB31">
        <f t="shared" si="2"/>
        <v>9.9999999999999645E-2</v>
      </c>
    </row>
    <row r="32" spans="1:28" x14ac:dyDescent="0.35">
      <c r="A32" t="s">
        <v>170</v>
      </c>
      <c r="B32" t="s">
        <v>170</v>
      </c>
      <c r="C32" t="s">
        <v>53</v>
      </c>
      <c r="D32" t="s">
        <v>36</v>
      </c>
      <c r="E32" s="11">
        <v>9.3908281999999996</v>
      </c>
      <c r="F32">
        <v>20</v>
      </c>
      <c r="G32">
        <v>19</v>
      </c>
      <c r="H32">
        <v>201</v>
      </c>
      <c r="I32" t="s">
        <v>59</v>
      </c>
      <c r="J32" t="s">
        <v>60</v>
      </c>
      <c r="K32" s="11">
        <v>9.4</v>
      </c>
      <c r="L32" s="3" t="s">
        <v>63</v>
      </c>
      <c r="N32" t="s">
        <v>56</v>
      </c>
      <c r="O32" t="s">
        <v>56</v>
      </c>
      <c r="P32" t="s">
        <v>53</v>
      </c>
      <c r="Q32" t="s">
        <v>36</v>
      </c>
      <c r="R32" s="11">
        <v>9.4</v>
      </c>
      <c r="V32" t="s">
        <v>34</v>
      </c>
      <c r="W32" t="s">
        <v>47</v>
      </c>
      <c r="X32" s="11">
        <v>9.4</v>
      </c>
      <c r="Y32" s="8" t="s">
        <v>39</v>
      </c>
      <c r="AA32">
        <f>K32-X32</f>
        <v>0</v>
      </c>
      <c r="AB32">
        <f t="shared" si="2"/>
        <v>0</v>
      </c>
    </row>
    <row r="33" spans="1:29" x14ac:dyDescent="0.35">
      <c r="A33" t="s">
        <v>89</v>
      </c>
      <c r="B33" t="s">
        <v>89</v>
      </c>
      <c r="C33" t="s">
        <v>53</v>
      </c>
      <c r="D33" t="s">
        <v>36</v>
      </c>
      <c r="E33" s="11">
        <v>9.4866529770000003</v>
      </c>
      <c r="F33">
        <v>0</v>
      </c>
      <c r="G33">
        <v>12</v>
      </c>
      <c r="H33">
        <v>333</v>
      </c>
      <c r="I33" t="s">
        <v>59</v>
      </c>
      <c r="J33" t="s">
        <v>60</v>
      </c>
      <c r="K33" s="11">
        <v>9.5</v>
      </c>
      <c r="L33" s="3" t="s">
        <v>63</v>
      </c>
      <c r="N33" t="s">
        <v>175</v>
      </c>
      <c r="O33" t="s">
        <v>175</v>
      </c>
      <c r="P33" t="s">
        <v>53</v>
      </c>
      <c r="Q33" t="s">
        <v>36</v>
      </c>
      <c r="R33" s="11">
        <v>9.3853524979999996</v>
      </c>
      <c r="S33">
        <v>0</v>
      </c>
      <c r="T33">
        <v>0</v>
      </c>
      <c r="V33" t="s">
        <v>34</v>
      </c>
      <c r="W33" t="s">
        <v>60</v>
      </c>
      <c r="X33" s="11">
        <v>9.4</v>
      </c>
      <c r="Y33" s="8" t="s">
        <v>39</v>
      </c>
      <c r="AA33">
        <f>K33-X33</f>
        <v>9.9999999999999645E-2</v>
      </c>
      <c r="AB33">
        <f t="shared" si="2"/>
        <v>9.9999999999999645E-2</v>
      </c>
    </row>
    <row r="34" spans="1:29" x14ac:dyDescent="0.35">
      <c r="A34" t="s">
        <v>168</v>
      </c>
      <c r="B34" t="s">
        <v>168</v>
      </c>
      <c r="C34" t="s">
        <v>53</v>
      </c>
      <c r="D34" t="s">
        <v>36</v>
      </c>
      <c r="E34" s="11">
        <v>9.8945927450000006</v>
      </c>
      <c r="F34">
        <v>10</v>
      </c>
      <c r="G34">
        <v>13</v>
      </c>
      <c r="H34">
        <v>93</v>
      </c>
      <c r="I34" t="s">
        <v>59</v>
      </c>
      <c r="J34" t="s">
        <v>60</v>
      </c>
      <c r="K34" s="11">
        <v>9.9</v>
      </c>
      <c r="L34" s="3" t="s">
        <v>63</v>
      </c>
      <c r="N34" t="s">
        <v>54</v>
      </c>
      <c r="O34" t="s">
        <v>54</v>
      </c>
      <c r="P34" t="s">
        <v>53</v>
      </c>
      <c r="Q34" t="s">
        <v>36</v>
      </c>
      <c r="R34" s="11">
        <v>9.6999999999999993</v>
      </c>
      <c r="V34" t="s">
        <v>34</v>
      </c>
      <c r="W34" t="s">
        <v>47</v>
      </c>
      <c r="X34" s="11">
        <v>9.6999999999999993</v>
      </c>
      <c r="Y34" s="8" t="s">
        <v>39</v>
      </c>
      <c r="AA34">
        <f>K34-X34</f>
        <v>0.20000000000000107</v>
      </c>
      <c r="AB34">
        <f t="shared" si="2"/>
        <v>0.20000000000000107</v>
      </c>
    </row>
    <row r="35" spans="1:29" x14ac:dyDescent="0.35">
      <c r="A35" t="s">
        <v>114</v>
      </c>
      <c r="B35" t="s">
        <v>115</v>
      </c>
      <c r="C35" t="s">
        <v>53</v>
      </c>
      <c r="D35" t="s">
        <v>36</v>
      </c>
      <c r="E35" s="11">
        <v>10.23408624</v>
      </c>
      <c r="F35">
        <v>10</v>
      </c>
      <c r="G35">
        <v>16</v>
      </c>
      <c r="H35">
        <v>253</v>
      </c>
      <c r="I35" t="s">
        <v>59</v>
      </c>
      <c r="J35" t="s">
        <v>60</v>
      </c>
      <c r="K35" s="11">
        <v>10.199999999999999</v>
      </c>
      <c r="L35" s="3" t="s">
        <v>63</v>
      </c>
      <c r="N35" t="s">
        <v>52</v>
      </c>
      <c r="O35" t="s">
        <v>52</v>
      </c>
      <c r="P35" t="s">
        <v>53</v>
      </c>
      <c r="Q35" t="s">
        <v>36</v>
      </c>
      <c r="R35" s="11">
        <v>9.8000000000000007</v>
      </c>
      <c r="V35" t="s">
        <v>34</v>
      </c>
      <c r="W35" t="s">
        <v>47</v>
      </c>
      <c r="X35" s="11">
        <v>9.8000000000000007</v>
      </c>
      <c r="Y35" s="8" t="s">
        <v>39</v>
      </c>
      <c r="AA35">
        <f>K35-X35</f>
        <v>0.39999999999999858</v>
      </c>
      <c r="AB35">
        <f t="shared" si="2"/>
        <v>0.39999999999999858</v>
      </c>
    </row>
    <row r="36" spans="1:29" x14ac:dyDescent="0.35">
      <c r="A36" t="s">
        <v>173</v>
      </c>
      <c r="B36" t="s">
        <v>173</v>
      </c>
      <c r="C36" t="s">
        <v>53</v>
      </c>
      <c r="D36" t="s">
        <v>36</v>
      </c>
      <c r="E36" s="11">
        <v>10.92676249</v>
      </c>
      <c r="F36">
        <v>20</v>
      </c>
      <c r="G36">
        <v>26</v>
      </c>
      <c r="H36">
        <v>354</v>
      </c>
      <c r="I36" t="s">
        <v>59</v>
      </c>
      <c r="J36" t="s">
        <v>60</v>
      </c>
      <c r="K36" s="11">
        <v>10.9</v>
      </c>
      <c r="L36" s="3" t="s">
        <v>63</v>
      </c>
      <c r="N36" t="s">
        <v>55</v>
      </c>
      <c r="O36" t="s">
        <v>55</v>
      </c>
      <c r="P36" t="s">
        <v>53</v>
      </c>
      <c r="Q36" t="s">
        <v>36</v>
      </c>
      <c r="R36" s="11">
        <v>10.1</v>
      </c>
      <c r="V36" t="s">
        <v>34</v>
      </c>
      <c r="W36" t="s">
        <v>47</v>
      </c>
      <c r="X36" s="11">
        <v>10.1</v>
      </c>
      <c r="Y36" s="8" t="s">
        <v>39</v>
      </c>
      <c r="AA36">
        <f>K36-X36</f>
        <v>0.80000000000000071</v>
      </c>
      <c r="AB36">
        <f t="shared" si="2"/>
        <v>0.80000000000000071</v>
      </c>
    </row>
    <row r="38" spans="1:29" x14ac:dyDescent="0.35">
      <c r="AA38" s="9">
        <f>MIN(AA2:AA36)</f>
        <v>-0.70000000000000107</v>
      </c>
      <c r="AB38" s="9">
        <f>MIN(AB2:AB36)</f>
        <v>0</v>
      </c>
      <c r="AC38" s="5" t="s">
        <v>187</v>
      </c>
    </row>
    <row r="39" spans="1:29" x14ac:dyDescent="0.35">
      <c r="AA39" s="6">
        <f>MEDIAN(AA2:AA36)</f>
        <v>0</v>
      </c>
      <c r="AB39" s="6">
        <f>MEDIAN(AB2:AB36)</f>
        <v>0.10000000000000053</v>
      </c>
      <c r="AC39" s="5" t="s">
        <v>184</v>
      </c>
    </row>
    <row r="40" spans="1:29" x14ac:dyDescent="0.35">
      <c r="AA40" s="7">
        <f>AVERAGE(AA2:AA36)</f>
        <v>-3.142857142857132E-2</v>
      </c>
      <c r="AB40" s="7">
        <f>AVERAGE(AB2:AB36)</f>
        <v>0.20857142857142855</v>
      </c>
      <c r="AC40" s="5" t="s">
        <v>185</v>
      </c>
    </row>
    <row r="41" spans="1:29" x14ac:dyDescent="0.35">
      <c r="AA41" s="10">
        <f>MAX(AA2:AA36)</f>
        <v>0.80000000000000071</v>
      </c>
      <c r="AB41" s="6">
        <f>MAX(AB2:AB36)</f>
        <v>0.80000000000000071</v>
      </c>
      <c r="AC41" s="5" t="s">
        <v>183</v>
      </c>
    </row>
  </sheetData>
  <conditionalFormatting sqref="Q2:Q27">
    <cfRule type="cellIs" dxfId="53" priority="30" operator="notEqual">
      <formula>"R"</formula>
    </cfRule>
  </conditionalFormatting>
  <conditionalFormatting sqref="D27">
    <cfRule type="cellIs" dxfId="52" priority="29" operator="notEqual">
      <formula>"R"</formula>
    </cfRule>
  </conditionalFormatting>
  <conditionalFormatting sqref="D22:D26">
    <cfRule type="cellIs" dxfId="51" priority="28" operator="notEqual">
      <formula>"R"</formula>
    </cfRule>
  </conditionalFormatting>
  <conditionalFormatting sqref="D21">
    <cfRule type="cellIs" dxfId="50" priority="27" operator="notEqual">
      <formula>"R"</formula>
    </cfRule>
  </conditionalFormatting>
  <conditionalFormatting sqref="D20">
    <cfRule type="cellIs" dxfId="49" priority="26" operator="notEqual">
      <formula>"R"</formula>
    </cfRule>
  </conditionalFormatting>
  <conditionalFormatting sqref="D19">
    <cfRule type="cellIs" dxfId="48" priority="25" operator="notEqual">
      <formula>"R"</formula>
    </cfRule>
  </conditionalFormatting>
  <conditionalFormatting sqref="D17:D18">
    <cfRule type="cellIs" dxfId="47" priority="24" operator="notEqual">
      <formula>"R"</formula>
    </cfRule>
  </conditionalFormatting>
  <conditionalFormatting sqref="D16">
    <cfRule type="cellIs" dxfId="46" priority="23" operator="notEqual">
      <formula>"R"</formula>
    </cfRule>
  </conditionalFormatting>
  <conditionalFormatting sqref="D14:D15">
    <cfRule type="cellIs" dxfId="45" priority="22" operator="notEqual">
      <formula>"R"</formula>
    </cfRule>
  </conditionalFormatting>
  <conditionalFormatting sqref="D13">
    <cfRule type="cellIs" dxfId="44" priority="21" operator="notEqual">
      <formula>"R"</formula>
    </cfRule>
  </conditionalFormatting>
  <conditionalFormatting sqref="D12">
    <cfRule type="cellIs" dxfId="43" priority="20" operator="notEqual">
      <formula>"R"</formula>
    </cfRule>
  </conditionalFormatting>
  <conditionalFormatting sqref="D11">
    <cfRule type="cellIs" dxfId="42" priority="19" operator="notEqual">
      <formula>"R"</formula>
    </cfRule>
  </conditionalFormatting>
  <conditionalFormatting sqref="D10">
    <cfRule type="cellIs" dxfId="41" priority="18" operator="notEqual">
      <formula>"R"</formula>
    </cfRule>
  </conditionalFormatting>
  <conditionalFormatting sqref="D8:D9">
    <cfRule type="cellIs" dxfId="40" priority="17" operator="notEqual">
      <formula>"R"</formula>
    </cfRule>
  </conditionalFormatting>
  <conditionalFormatting sqref="D5:D7">
    <cfRule type="cellIs" dxfId="39" priority="16" operator="notEqual">
      <formula>"R"</formula>
    </cfRule>
  </conditionalFormatting>
  <conditionalFormatting sqref="D3:D4">
    <cfRule type="cellIs" dxfId="38" priority="15" operator="notEqual">
      <formula>"R"</formula>
    </cfRule>
  </conditionalFormatting>
  <conditionalFormatting sqref="D2">
    <cfRule type="cellIs" dxfId="37" priority="14" operator="notEqual">
      <formula>"R"</formula>
    </cfRule>
  </conditionalFormatting>
  <conditionalFormatting sqref="Q28">
    <cfRule type="cellIs" dxfId="36" priority="13" operator="notEqual">
      <formula>"R"</formula>
    </cfRule>
  </conditionalFormatting>
  <conditionalFormatting sqref="D28">
    <cfRule type="cellIs" dxfId="35" priority="12" operator="notEqual">
      <formula>"R"</formula>
    </cfRule>
  </conditionalFormatting>
  <conditionalFormatting sqref="Q29">
    <cfRule type="cellIs" dxfId="34" priority="11" operator="notEqual">
      <formula>"R"</formula>
    </cfRule>
  </conditionalFormatting>
  <conditionalFormatting sqref="D29">
    <cfRule type="cellIs" dxfId="33" priority="10" operator="notEqual">
      <formula>"R"</formula>
    </cfRule>
  </conditionalFormatting>
  <conditionalFormatting sqref="Q30">
    <cfRule type="cellIs" dxfId="32" priority="9" operator="notEqual">
      <formula>"R"</formula>
    </cfRule>
  </conditionalFormatting>
  <conditionalFormatting sqref="Q31:Q36">
    <cfRule type="cellIs" dxfId="31" priority="8" operator="notEqual">
      <formula>"R"</formula>
    </cfRule>
  </conditionalFormatting>
  <conditionalFormatting sqref="D30">
    <cfRule type="cellIs" dxfId="30" priority="7" operator="notEqual">
      <formula>"R"</formula>
    </cfRule>
  </conditionalFormatting>
  <conditionalFormatting sqref="D31:D36">
    <cfRule type="cellIs" dxfId="29" priority="6" operator="notEqual">
      <formula>"R"</formula>
    </cfRule>
  </conditionalFormatting>
  <conditionalFormatting sqref="C2:C36">
    <cfRule type="cellIs" dxfId="28" priority="5" operator="equal">
      <formula>"F"</formula>
    </cfRule>
  </conditionalFormatting>
  <conditionalFormatting sqref="P2:P36">
    <cfRule type="cellIs" dxfId="27" priority="4" operator="equal">
      <formula>"F"</formula>
    </cfRule>
  </conditionalFormatting>
  <conditionalFormatting sqref="K1:K36">
    <cfRule type="colorScale" priority="3">
      <colorScale>
        <cfvo type="min"/>
        <cfvo type="max"/>
        <color rgb="FFFCFCFF"/>
        <color rgb="FF63BE7B"/>
      </colorScale>
    </cfRule>
  </conditionalFormatting>
  <conditionalFormatting sqref="X2:X36">
    <cfRule type="colorScale" priority="2">
      <colorScale>
        <cfvo type="min"/>
        <cfvo type="max"/>
        <color rgb="FFFCFCFF"/>
        <color rgb="FF63BE7B"/>
      </colorScale>
    </cfRule>
  </conditionalFormatting>
  <conditionalFormatting sqref="AB2:AB3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ready_to_match</vt:lpstr>
      <vt:lpstr>m_girls</vt:lpstr>
      <vt:lpstr>m_boys</vt:lpstr>
      <vt:lpstr>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Kevin</cp:lastModifiedBy>
  <dcterms:created xsi:type="dcterms:W3CDTF">2025-09-23T22:01:36Z</dcterms:created>
  <dcterms:modified xsi:type="dcterms:W3CDTF">2025-09-28T22:16:35Z</dcterms:modified>
</cp:coreProperties>
</file>